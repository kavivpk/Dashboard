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Kaviyarasan\Documents\excel\"/>
    </mc:Choice>
  </mc:AlternateContent>
  <xr:revisionPtr revIDLastSave="0" documentId="13_ncr:1_{96B0B6B3-8EE6-4093-A893-FF960C6520CD}" xr6:coauthVersionLast="47" xr6:coauthVersionMax="47" xr10:uidLastSave="{00000000-0000-0000-0000-000000000000}"/>
  <bookViews>
    <workbookView xWindow="-108" yWindow="-108" windowWidth="23256" windowHeight="13176" activeTab="3" xr2:uid="{A5E7FF8B-4895-47B1-A176-FC95B8303529}"/>
  </bookViews>
  <sheets>
    <sheet name="Sales Data" sheetId="1" r:id="rId1"/>
    <sheet name="Sheet1" sheetId="4" r:id="rId2"/>
    <sheet name="Sheet2" sheetId="2" r:id="rId3"/>
    <sheet name="Dashboard" sheetId="6" r:id="rId4"/>
  </sheets>
  <definedNames>
    <definedName name="Slicer_Region">#N/A</definedName>
    <definedName name="Slicer_Region1">#N/A</definedName>
  </definedNames>
  <calcPr calcId="191029" iterateDelta="1E-4"/>
  <pivotCaches>
    <pivotCache cacheId="0" r:id="rId5"/>
    <pivotCache cacheId="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4" i="6" l="1"/>
  <c r="G4" i="6"/>
  <c r="B4" i="6"/>
  <c r="L3" i="1"/>
  <c r="K9" i="1" a="1"/>
  <c r="K9" i="1" s="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2" i="1"/>
  <c r="H53"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<sst xmlns="http://schemas.openxmlformats.org/spreadsheetml/2006/main" count="237" uniqueCount="73">
  <si>
    <t>Product</t>
  </si>
  <si>
    <t>Region</t>
  </si>
  <si>
    <t>Salesperson</t>
  </si>
  <si>
    <t>Units</t>
  </si>
  <si>
    <t xml:space="preserve">Date </t>
  </si>
  <si>
    <t>Order ID</t>
  </si>
  <si>
    <t>2024-01-22</t>
  </si>
  <si>
    <t>2024-01-17</t>
  </si>
  <si>
    <t>2024-01-26</t>
  </si>
  <si>
    <t>2024-01-25</t>
  </si>
  <si>
    <t>2024-01-20</t>
  </si>
  <si>
    <t>2024-01-03</t>
  </si>
  <si>
    <t>2024-01-15</t>
  </si>
  <si>
    <t>2024-01-23</t>
  </si>
  <si>
    <t>2024-01-21</t>
  </si>
  <si>
    <t>2024-01-13</t>
  </si>
  <si>
    <t>2024-01-07</t>
  </si>
  <si>
    <t>2024-01-24</t>
  </si>
  <si>
    <t>2024-01-01</t>
  </si>
  <si>
    <t>2024-01-08</t>
  </si>
  <si>
    <t>2024-01-28</t>
  </si>
  <si>
    <t>2024-01-19</t>
  </si>
  <si>
    <t>2024-02-12</t>
  </si>
  <si>
    <t>2024-02-02</t>
  </si>
  <si>
    <t>2024-02-15</t>
  </si>
  <si>
    <t>2024-02-06</t>
  </si>
  <si>
    <t>2024-02-10</t>
  </si>
  <si>
    <t>2024-02-19</t>
  </si>
  <si>
    <t>2024-02-28</t>
  </si>
  <si>
    <t>2024-02-03</t>
  </si>
  <si>
    <t>2024-02-20</t>
  </si>
  <si>
    <t>2024-02-11</t>
  </si>
  <si>
    <t>2024-02-22</t>
  </si>
  <si>
    <t>2024-02-01</t>
  </si>
  <si>
    <t>2024-02-05</t>
  </si>
  <si>
    <t>2024-02-27</t>
  </si>
  <si>
    <t>2024-02-09</t>
  </si>
  <si>
    <t>2024-02-23</t>
  </si>
  <si>
    <t>2024-02-21</t>
  </si>
  <si>
    <t>Mobile</t>
  </si>
  <si>
    <t>Laptop</t>
  </si>
  <si>
    <t>Camera</t>
  </si>
  <si>
    <t>Smartwatch</t>
  </si>
  <si>
    <t>Headphones</t>
  </si>
  <si>
    <t>Monitor</t>
  </si>
  <si>
    <t>Speaker</t>
  </si>
  <si>
    <t>Tablet</t>
  </si>
  <si>
    <t>North</t>
  </si>
  <si>
    <t>West</t>
  </si>
  <si>
    <t>South</t>
  </si>
  <si>
    <t>East</t>
  </si>
  <si>
    <t>Suresh</t>
  </si>
  <si>
    <t>Arjun</t>
  </si>
  <si>
    <t>Vikram</t>
  </si>
  <si>
    <t>Priya</t>
  </si>
  <si>
    <t>Anitha</t>
  </si>
  <si>
    <t>Kavitha</t>
  </si>
  <si>
    <t>Meena</t>
  </si>
  <si>
    <t>Ravi</t>
  </si>
  <si>
    <t>Price(₹)</t>
  </si>
  <si>
    <t>Revenue(₹)</t>
  </si>
  <si>
    <t xml:space="preserve">Discount(%) </t>
  </si>
  <si>
    <t xml:space="preserve">Total </t>
  </si>
  <si>
    <t>Net Revenue</t>
  </si>
  <si>
    <t xml:space="preserve">product count </t>
  </si>
  <si>
    <t>Row Labels</t>
  </si>
  <si>
    <t>Grand Total</t>
  </si>
  <si>
    <t>Sum of Revenue(₹)</t>
  </si>
  <si>
    <t>Sum of Net Revenue</t>
  </si>
  <si>
    <t>Sales Dashboard</t>
  </si>
  <si>
    <t>Total Revenue</t>
  </si>
  <si>
    <t>Total Orders</t>
  </si>
  <si>
    <t>Best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</si>
</sst>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8" x14ac:knownFonts="1">
    <font>
      <sz val="11"/>
      <color theme="1"/>
      <name val="Calibri"/>
      <family val="2"/>
      <scheme val="minor"/>
    </font>
    <font>
      <b/>
      <sz val="11"/>
      <color rgb="FF002060"/>
      <name val="Calibri"/>
      <family val="2"/>
      <scheme val="minor"/>
    </font>
    <font>
      <sz val="11"/>
      <color theme="1"/>
      <name val="Calibri"/>
      <family val="2"/>
      <charset val="1"/>
    </font>
    <font>
      <b/>
      <sz val="15"/>
      <color rgb="FF002060"/>
      <name val="Calibri"/>
      <family val="2"/>
      <scheme val="minor"/>
    </font>
    <font>
      <sz val="15"/>
      <color rgb="FF002060"/>
      <name val="Calibri"/>
      <family val="2"/>
      <scheme val="minor"/>
    </font>
    <font>
      <b/>
      <sz val="18"/>
      <color rgb="FFFFFFFF"/>
      <name val="Calibri"/>
      <family val="2"/>
      <scheme val="minor"/>
    </font>
    <font>
      <b/>
      <sz val="11"/>
      <color rgb="FF1F1F1F"/>
      <name val="Calibri"/>
      <family val="2"/>
      <scheme val="minor"/>
    </font>
    <font>
      <b/>
      <sz val="16"/>
      <color rgb="FF1F4E78"/>
      <name val="Calibri"/>
      <family val="2"/>
      <scheme val="minor"/>
    </font>
  </fonts>
  <fills count="9">
    <fill>
      <patternFill patternType="none"/>
    </fill>
    <fill>
      <patternFill patternType="gray125"/>
    </fill>
    <fill>
      <patternFill patternType="solid">
        <fgColor rgb="FFF2F2F2"/>
        <bgColor rgb="FFF9F9F9"/>
      </patternFill>
    </fill>
    <fill>
      <patternFill patternType="solid">
        <fgColor rgb="FFFFFFFF"/>
        <bgColor rgb="FFF9F9F9"/>
      </patternFill>
    </fill>
    <fill>
      <patternFill patternType="solid">
        <fgColor theme="2" tint="-0.249977111117893"/>
        <bgColor indexed="64"/>
      </patternFill>
    </fill>
    <fill>
      <patternFill patternType="solid">
        <fgColor theme="4" tint="0.39997558519241921"/>
        <bgColor indexed="64"/>
      </patternFill>
    </fill>
    <fill>
      <patternFill patternType="solid">
        <fgColor rgb="FF1F4E78"/>
        <bgColor indexed="64"/>
      </patternFill>
    </fill>
    <fill>
      <patternFill patternType="solid">
        <fgColor rgb="FFD9EAF7"/>
        <bgColor indexed="64"/>
      </patternFill>
    </fill>
    <fill>
      <patternFill patternType="solid">
        <fgColor rgb="FFF7FBFF"/>
        <bgColor indexed="64"/>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2" fillId="0" borderId="0"/>
  </cellStyleXfs>
  <cellXfs count="25">
    <xf numFmtId="0" fontId="0" fillId="0" borderId="0" xfId="0"/>
    <xf numFmtId="0" fontId="1" fillId="0" borderId="0" xfId="0" applyFont="1"/>
    <xf numFmtId="0" fontId="2" fillId="2" borderId="1" xfId="1" applyFill="1" applyBorder="1" applyAlignment="1">
      <alignment horizontal="center" vertical="center"/>
    </xf>
    <xf numFmtId="0" fontId="2" fillId="3" borderId="1" xfId="1" applyFill="1" applyBorder="1" applyAlignment="1">
      <alignment horizontal="center" vertical="center"/>
    </xf>
    <xf numFmtId="3" fontId="2" fillId="2" borderId="1" xfId="1" applyNumberFormat="1" applyFill="1" applyBorder="1" applyAlignment="1">
      <alignment horizontal="center" vertical="center"/>
    </xf>
    <xf numFmtId="3" fontId="2" fillId="3" borderId="1" xfId="1" applyNumberFormat="1" applyFill="1" applyBorder="1" applyAlignment="1">
      <alignment horizontal="center" vertical="center"/>
    </xf>
    <xf numFmtId="4" fontId="2" fillId="2" borderId="1" xfId="1" applyNumberFormat="1" applyFill="1" applyBorder="1" applyAlignment="1">
      <alignment horizontal="center" vertical="center"/>
    </xf>
    <xf numFmtId="4" fontId="2" fillId="2" borderId="1" xfId="1" applyNumberFormat="1" applyFill="1" applyBorder="1" applyAlignment="1">
      <alignment horizontal="center" vertical="center" wrapText="1"/>
    </xf>
    <xf numFmtId="4" fontId="2" fillId="3" borderId="1" xfId="1" applyNumberFormat="1" applyFill="1" applyBorder="1" applyAlignment="1">
      <alignment horizontal="center" vertical="center"/>
    </xf>
    <xf numFmtId="0" fontId="4" fillId="4" borderId="0" xfId="0" applyFont="1" applyFill="1"/>
    <xf numFmtId="4" fontId="0" fillId="0" borderId="0" xfId="0" applyNumberFormat="1"/>
    <xf numFmtId="164" fontId="0" fillId="2" borderId="1" xfId="0" applyNumberFormat="1" applyFill="1" applyBorder="1" applyAlignment="1">
      <alignment horizontal="center" vertical="center" wrapText="1"/>
    </xf>
    <xf numFmtId="164" fontId="0" fillId="3" borderId="1" xfId="0" applyNumberFormat="1" applyFill="1" applyBorder="1" applyAlignment="1">
      <alignment horizontal="center" vertical="center" wrapText="1"/>
    </xf>
    <xf numFmtId="0" fontId="0" fillId="0" borderId="0" xfId="0" pivotButton="1"/>
    <xf numFmtId="0" fontId="0" fillId="0" borderId="0" xfId="0" applyAlignment="1">
      <alignment horizontal="left"/>
    </xf>
    <xf numFmtId="0" fontId="0" fillId="0" borderId="0" xfId="0" applyAlignment="1">
      <alignment horizontal="left" indent="1"/>
    </xf>
    <xf numFmtId="0" fontId="3" fillId="5" borderId="0" xfId="0" applyFont="1" applyFill="1"/>
    <xf numFmtId="0" fontId="5" fillId="6" borderId="0" xfId="0" applyFont="1" applyFill="1" applyAlignment="1">
      <alignment horizontal="center" vertical="center"/>
    </xf>
    <xf numFmtId="0" fontId="6" fillId="7" borderId="0" xfId="0" applyFont="1" applyFill="1" applyAlignment="1">
      <alignment horizontal="center" vertical="center"/>
    </xf>
    <xf numFmtId="165" fontId="7" fillId="8" borderId="0" xfId="0" applyNumberFormat="1" applyFont="1" applyFill="1" applyAlignment="1">
      <alignment horizontal="center" vertical="center" wrapText="1"/>
    </xf>
    <xf numFmtId="3" fontId="7" fillId="8" borderId="0" xfId="0" applyNumberFormat="1" applyFont="1" applyFill="1" applyAlignment="1">
      <alignment horizontal="center" vertical="center" wrapText="1"/>
    </xf>
    <xf numFmtId="0" fontId="7" fillId="8" borderId="0" xfId="0" applyFont="1" applyFill="1" applyAlignment="1">
      <alignment horizontal="center" vertical="center" wrapText="1"/>
    </xf>
    <xf numFmtId="49" fontId="7" fillId="8" borderId="0" xfId="0" applyNumberFormat="1" applyFont="1" applyFill="1" applyAlignment="1">
      <alignment horizontal="center" vertical="center" wrapText="1"/>
    </xf>
    <xf numFmtId="0" fontId="3" fillId="5" borderId="0" xfId="0" applyFont="1" applyFill="1" applyAlignment="1">
      <alignment horizontal="center"/>
    </xf>
    <xf numFmtId="0" fontId="0" fillId="0" borderId="0" xfId="0" applyNumberFormat="1"/>
  </cellXfs>
  <cellStyles count="2">
    <cellStyle name="Normal" xfId="0" builtinId="0"/>
    <cellStyle name="Normal 2" xfId="1" xr:uid="{42637416-F14A-47AA-A475-9C26C34017FD}"/>
  </cellStyles>
  <dxfs count="10">
    <dxf>
      <numFmt numFmtId="164" formatCode="0.0%"/>
      <fill>
        <patternFill patternType="solid">
          <fgColor rgb="FFF9F9F9"/>
          <bgColor rgb="FFFFFFFF"/>
        </patternFill>
      </fill>
      <alignment horizontal="center"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numFmt numFmtId="4" formatCode="#,##0.00"/>
      <fill>
        <patternFill patternType="solid">
          <fgColor rgb="FFF9F9F9"/>
          <bgColor rgb="FFF2F2F2"/>
        </patternFill>
      </fill>
      <alignment horizontal="center"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numFmt numFmtId="4" formatCode="#,##0.00"/>
      <fill>
        <patternFill patternType="solid">
          <fgColor rgb="FFF9F9F9"/>
          <bgColor rgb="FFFFFFFF"/>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numFmt numFmtId="3" formatCode="#,##0"/>
      <fill>
        <patternFill patternType="solid">
          <fgColor rgb="FFF9F9F9"/>
          <bgColor rgb="FFFFFFFF"/>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ill>
        <patternFill patternType="solid">
          <fgColor rgb="FFF9F9F9"/>
          <bgColor rgb="FFFFFFFF"/>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ill>
        <patternFill patternType="solid">
          <fgColor rgb="FFF9F9F9"/>
          <bgColor rgb="FFFFFFFF"/>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ill>
        <patternFill patternType="solid">
          <fgColor rgb="FFF9F9F9"/>
          <bgColor rgb="FFFFFFFF"/>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ill>
        <patternFill patternType="solid">
          <fgColor rgb="FFF9F9F9"/>
          <bgColor rgb="FFFFFFFF"/>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ill>
        <patternFill patternType="solid">
          <fgColor rgb="FFF9F9F9"/>
          <bgColor rgb="FFFFFFFF"/>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i val="0"/>
        <strike val="0"/>
        <condense val="0"/>
        <extend val="0"/>
        <outline val="0"/>
        <shadow val="0"/>
        <u val="none"/>
        <vertAlign val="baseline"/>
        <sz val="15"/>
        <color rgb="FF002060"/>
        <name val="Calibri"/>
        <family val="2"/>
        <scheme val="minor"/>
      </font>
      <fill>
        <patternFill patternType="solid">
          <fgColor indexed="64"/>
          <bgColor theme="4" tint="0.399975585192419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analytics.xlsx]Sheet1!PivotTable15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Revenue by Product - 2024</a:t>
            </a:r>
          </a:p>
        </c:rich>
      </c:tx>
      <c:layout>
        <c:manualLayout>
          <c:xMode val="edge"/>
          <c:yMode val="edge"/>
          <c:x val="0.32462817147856515"/>
          <c:y val="7.85784259361946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pivotFmt>
    </c:pivotFmts>
    <c:plotArea>
      <c:layout/>
      <c:barChart>
        <c:barDir val="col"/>
        <c:grouping val="clustered"/>
        <c:varyColors val="0"/>
        <c:ser>
          <c:idx val="0"/>
          <c:order val="0"/>
          <c:tx>
            <c:strRef>
              <c:f>Sheet1!$B$3</c:f>
              <c:strCache>
                <c:ptCount val="1"/>
                <c:pt idx="0">
                  <c:v>Total</c:v>
                </c:pt>
              </c:strCache>
            </c:strRef>
          </c:tx>
          <c:spPr>
            <a:solidFill>
              <a:schemeClr val="accent5"/>
            </a:solidFill>
            <a:ln>
              <a:noFill/>
            </a:ln>
            <a:effectLst/>
          </c:spPr>
          <c:invertIfNegative val="0"/>
          <c:dPt>
            <c:idx val="5"/>
            <c:invertIfNegative val="0"/>
            <c:bubble3D val="0"/>
            <c:spPr>
              <a:solidFill>
                <a:schemeClr val="accent2">
                  <a:lumMod val="75000"/>
                </a:schemeClr>
              </a:solidFill>
              <a:ln>
                <a:noFill/>
              </a:ln>
              <a:effectLst/>
            </c:spPr>
            <c:extLst>
              <c:ext xmlns:c16="http://schemas.microsoft.com/office/drawing/2014/chart" uri="{C3380CC4-5D6E-409C-BE32-E72D297353CC}">
                <c16:uniqueId val="{00000000-A80E-4330-B416-97D3447363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Sheet1!$A$4:$A$10</c:f>
              <c:strCache>
                <c:ptCount val="7"/>
                <c:pt idx="0">
                  <c:v>Camera</c:v>
                </c:pt>
                <c:pt idx="1">
                  <c:v>Headphones</c:v>
                </c:pt>
                <c:pt idx="2">
                  <c:v>Mobile</c:v>
                </c:pt>
                <c:pt idx="3">
                  <c:v>Monitor</c:v>
                </c:pt>
                <c:pt idx="4">
                  <c:v>Smartwatch</c:v>
                </c:pt>
                <c:pt idx="5">
                  <c:v>Speaker</c:v>
                </c:pt>
                <c:pt idx="6">
                  <c:v>Tablet</c:v>
                </c:pt>
              </c:strCache>
            </c:strRef>
          </c:cat>
          <c:val>
            <c:numRef>
              <c:f>Sheet1!$B$4:$B$10</c:f>
              <c:numCache>
                <c:formatCode>General</c:formatCode>
                <c:ptCount val="7"/>
                <c:pt idx="0">
                  <c:v>101904.72</c:v>
                </c:pt>
                <c:pt idx="1">
                  <c:v>59448.152499999997</c:v>
                </c:pt>
                <c:pt idx="2">
                  <c:v>23085.599999999999</c:v>
                </c:pt>
                <c:pt idx="3">
                  <c:v>60581.993999999999</c:v>
                </c:pt>
                <c:pt idx="4">
                  <c:v>156457.41899999999</c:v>
                </c:pt>
                <c:pt idx="5">
                  <c:v>99288.382000000012</c:v>
                </c:pt>
                <c:pt idx="6">
                  <c:v>151079</c:v>
                </c:pt>
              </c:numCache>
            </c:numRef>
          </c:val>
          <c:extLst>
            <c:ext xmlns:c16="http://schemas.microsoft.com/office/drawing/2014/chart" uri="{C3380CC4-5D6E-409C-BE32-E72D297353CC}">
              <c16:uniqueId val="{00000000-1EA9-4BA4-AD4D-E6D5CAFE3618}"/>
            </c:ext>
          </c:extLst>
        </c:ser>
        <c:dLbls>
          <c:dLblPos val="outEnd"/>
          <c:showLegendKey val="0"/>
          <c:showVal val="1"/>
          <c:showCatName val="0"/>
          <c:showSerName val="0"/>
          <c:showPercent val="0"/>
          <c:showBubbleSize val="0"/>
        </c:dLbls>
        <c:gapWidth val="219"/>
        <c:overlap val="-27"/>
        <c:axId val="2040163855"/>
        <c:axId val="2040170575"/>
      </c:barChart>
      <c:catAx>
        <c:axId val="2040163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170575"/>
        <c:crosses val="autoZero"/>
        <c:auto val="1"/>
        <c:lblAlgn val="ctr"/>
        <c:lblOffset val="100"/>
        <c:noMultiLvlLbl val="0"/>
      </c:catAx>
      <c:valAx>
        <c:axId val="2040170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16385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analytics.xlsx]Sheet2!PivotTable1</c:name>
    <c:fmtId val="0"/>
  </c:pivotSource>
  <c:chart>
    <c:title>
      <c:layout>
        <c:manualLayout>
          <c:xMode val="edge"/>
          <c:yMode val="edge"/>
          <c:x val="0.75638888888888889"/>
          <c:y val="2.21274424030329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multiLvlStrRef>
              <c:f>Sheet2!$A$4:$A$12</c:f>
              <c:multiLvlStrCache>
                <c:ptCount val="7"/>
                <c:lvl>
                  <c:pt idx="0">
                    <c:v>Camera</c:v>
                  </c:pt>
                  <c:pt idx="1">
                    <c:v>Headphones</c:v>
                  </c:pt>
                  <c:pt idx="2">
                    <c:v>Mobile</c:v>
                  </c:pt>
                  <c:pt idx="3">
                    <c:v>Monitor</c:v>
                  </c:pt>
                  <c:pt idx="4">
                    <c:v>Smartwatch</c:v>
                  </c:pt>
                  <c:pt idx="5">
                    <c:v>Speaker</c:v>
                  </c:pt>
                  <c:pt idx="6">
                    <c:v>Tablet</c:v>
                  </c:pt>
                </c:lvl>
                <c:lvl>
                  <c:pt idx="0">
                    <c:v>West</c:v>
                  </c:pt>
                </c:lvl>
              </c:multiLvlStrCache>
            </c:multiLvlStrRef>
          </c:cat>
          <c:val>
            <c:numRef>
              <c:f>Sheet2!$B$4:$B$12</c:f>
              <c:numCache>
                <c:formatCode>#,##0.00</c:formatCode>
                <c:ptCount val="7"/>
                <c:pt idx="0">
                  <c:v>101904.72</c:v>
                </c:pt>
                <c:pt idx="1">
                  <c:v>67657.209999999992</c:v>
                </c:pt>
                <c:pt idx="2">
                  <c:v>23085.599999999999</c:v>
                </c:pt>
                <c:pt idx="3">
                  <c:v>63770.520000000004</c:v>
                </c:pt>
                <c:pt idx="4">
                  <c:v>176387.79</c:v>
                </c:pt>
                <c:pt idx="5">
                  <c:v>105809.06</c:v>
                </c:pt>
                <c:pt idx="6">
                  <c:v>177740</c:v>
                </c:pt>
              </c:numCache>
            </c:numRef>
          </c:val>
          <c:extLst>
            <c:ext xmlns:c16="http://schemas.microsoft.com/office/drawing/2014/chart" uri="{C3380CC4-5D6E-409C-BE32-E72D297353CC}">
              <c16:uniqueId val="{00000000-BAB1-4F86-901B-A81E80B192BE}"/>
            </c:ext>
          </c:extLst>
        </c:ser>
        <c:dLbls>
          <c:showLegendKey val="0"/>
          <c:showVal val="0"/>
          <c:showCatName val="0"/>
          <c:showSerName val="0"/>
          <c:showPercent val="0"/>
          <c:showBubbleSize val="0"/>
        </c:dLbls>
        <c:gapWidth val="219"/>
        <c:overlap val="-27"/>
        <c:axId val="474373264"/>
        <c:axId val="474371344"/>
      </c:barChart>
      <c:catAx>
        <c:axId val="474373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371344"/>
        <c:crosses val="autoZero"/>
        <c:auto val="1"/>
        <c:lblAlgn val="ctr"/>
        <c:lblOffset val="100"/>
        <c:noMultiLvlLbl val="0"/>
      </c:catAx>
      <c:valAx>
        <c:axId val="4743713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373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analytics.xlsx]Sheet2!PivotTable1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Regional</a:t>
            </a:r>
            <a:r>
              <a:rPr lang="en-US" baseline="0"/>
              <a:t> Sales Performance 2026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9069466316710414"/>
          <c:y val="0.28883858267716533"/>
          <c:w val="0.42624978127734031"/>
          <c:h val="0.62691017789442982"/>
        </c:manualLayout>
      </c:layout>
      <c:barChart>
        <c:barDir val="bar"/>
        <c:grouping val="clustered"/>
        <c:varyColors val="0"/>
        <c:ser>
          <c:idx val="0"/>
          <c:order val="0"/>
          <c:tx>
            <c:strRef>
              <c:f>Sheet2!$B$3</c:f>
              <c:strCache>
                <c:ptCount val="1"/>
                <c:pt idx="0">
                  <c:v>Total</c:v>
                </c:pt>
              </c:strCache>
            </c:strRef>
          </c:tx>
          <c:spPr>
            <a:solidFill>
              <a:schemeClr val="accent2">
                <a:lumMod val="75000"/>
              </a:schemeClr>
            </a:solidFill>
            <a:ln>
              <a:noFill/>
            </a:ln>
            <a:effectLst/>
          </c:spPr>
          <c:invertIfNegative val="0"/>
          <c:cat>
            <c:multiLvlStrRef>
              <c:f>Sheet2!$A$4:$A$12</c:f>
              <c:multiLvlStrCache>
                <c:ptCount val="7"/>
                <c:lvl>
                  <c:pt idx="0">
                    <c:v>Camera</c:v>
                  </c:pt>
                  <c:pt idx="1">
                    <c:v>Headphones</c:v>
                  </c:pt>
                  <c:pt idx="2">
                    <c:v>Mobile</c:v>
                  </c:pt>
                  <c:pt idx="3">
                    <c:v>Monitor</c:v>
                  </c:pt>
                  <c:pt idx="4">
                    <c:v>Smartwatch</c:v>
                  </c:pt>
                  <c:pt idx="5">
                    <c:v>Speaker</c:v>
                  </c:pt>
                  <c:pt idx="6">
                    <c:v>Tablet</c:v>
                  </c:pt>
                </c:lvl>
                <c:lvl>
                  <c:pt idx="0">
                    <c:v>West</c:v>
                  </c:pt>
                </c:lvl>
              </c:multiLvlStrCache>
            </c:multiLvlStrRef>
          </c:cat>
          <c:val>
            <c:numRef>
              <c:f>Sheet2!$B$4:$B$12</c:f>
              <c:numCache>
                <c:formatCode>#,##0.00</c:formatCode>
                <c:ptCount val="7"/>
                <c:pt idx="0">
                  <c:v>101904.72</c:v>
                </c:pt>
                <c:pt idx="1">
                  <c:v>67657.209999999992</c:v>
                </c:pt>
                <c:pt idx="2">
                  <c:v>23085.599999999999</c:v>
                </c:pt>
                <c:pt idx="3">
                  <c:v>63770.520000000004</c:v>
                </c:pt>
                <c:pt idx="4">
                  <c:v>176387.79</c:v>
                </c:pt>
                <c:pt idx="5">
                  <c:v>105809.06</c:v>
                </c:pt>
                <c:pt idx="6">
                  <c:v>177740</c:v>
                </c:pt>
              </c:numCache>
            </c:numRef>
          </c:val>
          <c:extLst>
            <c:ext xmlns:c16="http://schemas.microsoft.com/office/drawing/2014/chart" uri="{C3380CC4-5D6E-409C-BE32-E72D297353CC}">
              <c16:uniqueId val="{00000000-ABBA-4816-8619-D11B906C8A34}"/>
            </c:ext>
          </c:extLst>
        </c:ser>
        <c:dLbls>
          <c:showLegendKey val="0"/>
          <c:showVal val="0"/>
          <c:showCatName val="0"/>
          <c:showSerName val="0"/>
          <c:showPercent val="0"/>
          <c:showBubbleSize val="0"/>
        </c:dLbls>
        <c:gapWidth val="182"/>
        <c:axId val="986649664"/>
        <c:axId val="986648704"/>
      </c:barChart>
      <c:catAx>
        <c:axId val="98664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648704"/>
        <c:crosses val="autoZero"/>
        <c:auto val="1"/>
        <c:lblAlgn val="ctr"/>
        <c:lblOffset val="100"/>
        <c:noMultiLvlLbl val="0"/>
      </c:catAx>
      <c:valAx>
        <c:axId val="98664870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649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analytics.xlsx]Sheet2!PivotTable1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28575" cap="rnd">
              <a:solidFill>
                <a:schemeClr val="accent1"/>
              </a:solidFill>
              <a:round/>
            </a:ln>
            <a:effectLst/>
          </c:spPr>
          <c:marker>
            <c:symbol val="none"/>
          </c:marker>
          <c:cat>
            <c:multiLvlStrRef>
              <c:f>Sheet2!$A$4:$A$12</c:f>
              <c:multiLvlStrCache>
                <c:ptCount val="7"/>
                <c:lvl>
                  <c:pt idx="0">
                    <c:v>Camera</c:v>
                  </c:pt>
                  <c:pt idx="1">
                    <c:v>Headphones</c:v>
                  </c:pt>
                  <c:pt idx="2">
                    <c:v>Mobile</c:v>
                  </c:pt>
                  <c:pt idx="3">
                    <c:v>Monitor</c:v>
                  </c:pt>
                  <c:pt idx="4">
                    <c:v>Smartwatch</c:v>
                  </c:pt>
                  <c:pt idx="5">
                    <c:v>Speaker</c:v>
                  </c:pt>
                  <c:pt idx="6">
                    <c:v>Tablet</c:v>
                  </c:pt>
                </c:lvl>
                <c:lvl>
                  <c:pt idx="0">
                    <c:v>West</c:v>
                  </c:pt>
                </c:lvl>
              </c:multiLvlStrCache>
            </c:multiLvlStrRef>
          </c:cat>
          <c:val>
            <c:numRef>
              <c:f>Sheet2!$B$4:$B$12</c:f>
              <c:numCache>
                <c:formatCode>#,##0.00</c:formatCode>
                <c:ptCount val="7"/>
                <c:pt idx="0">
                  <c:v>101904.72</c:v>
                </c:pt>
                <c:pt idx="1">
                  <c:v>67657.209999999992</c:v>
                </c:pt>
                <c:pt idx="2">
                  <c:v>23085.599999999999</c:v>
                </c:pt>
                <c:pt idx="3">
                  <c:v>63770.520000000004</c:v>
                </c:pt>
                <c:pt idx="4">
                  <c:v>176387.79</c:v>
                </c:pt>
                <c:pt idx="5">
                  <c:v>105809.06</c:v>
                </c:pt>
                <c:pt idx="6">
                  <c:v>177740</c:v>
                </c:pt>
              </c:numCache>
            </c:numRef>
          </c:val>
          <c:smooth val="0"/>
          <c:extLst>
            <c:ext xmlns:c16="http://schemas.microsoft.com/office/drawing/2014/chart" uri="{C3380CC4-5D6E-409C-BE32-E72D297353CC}">
              <c16:uniqueId val="{00000000-3B4C-42FD-B4EA-2227EB785FDE}"/>
            </c:ext>
          </c:extLst>
        </c:ser>
        <c:dLbls>
          <c:showLegendKey val="0"/>
          <c:showVal val="0"/>
          <c:showCatName val="0"/>
          <c:showSerName val="0"/>
          <c:showPercent val="0"/>
          <c:showBubbleSize val="0"/>
        </c:dLbls>
        <c:smooth val="0"/>
        <c:axId val="916812064"/>
        <c:axId val="916813024"/>
      </c:lineChart>
      <c:catAx>
        <c:axId val="916812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813024"/>
        <c:crosses val="autoZero"/>
        <c:auto val="1"/>
        <c:lblAlgn val="ctr"/>
        <c:lblOffset val="100"/>
        <c:noMultiLvlLbl val="0"/>
      </c:catAx>
      <c:valAx>
        <c:axId val="9168130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812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analytics.xlsx]Sheet1!PivotTable15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Product - 2024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2">
              <a:lumMod val="75000"/>
            </a:schemeClr>
          </a:solidFill>
          <a:ln>
            <a:noFill/>
          </a:ln>
          <a:effectLst/>
        </c:spP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chemeClr val="accent1"/>
          </a:solidFill>
          <a:ln>
            <a:noFill/>
          </a:ln>
          <a:effectLst/>
        </c:spP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chemeClr val="accent1"/>
          </a:solidFill>
          <a:ln>
            <a:noFill/>
          </a:ln>
          <a:effectLst/>
        </c:spP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solidFill>
            <a:schemeClr val="accent1"/>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dPt>
            <c:idx val="5"/>
            <c:invertIfNegative val="0"/>
            <c:bubble3D val="0"/>
            <c:spPr>
              <a:solidFill>
                <a:schemeClr val="accent2">
                  <a:lumMod val="75000"/>
                </a:schemeClr>
              </a:solidFill>
              <a:ln>
                <a:noFill/>
              </a:ln>
              <a:effectLst/>
            </c:spPr>
            <c:extLst>
              <c:ext xmlns:c16="http://schemas.microsoft.com/office/drawing/2014/chart" uri="{C3380CC4-5D6E-409C-BE32-E72D297353CC}">
                <c16:uniqueId val="{00000000-F0E9-4764-B052-FB17D56CF466}"/>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0E9-4764-B052-FB17D56CF466}"/>
                </c:ext>
              </c:extLst>
            </c:dLbl>
            <c:dLbl>
              <c:idx val="1"/>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0E9-4764-B052-FB17D56CF466}"/>
                </c:ext>
              </c:extLst>
            </c:dLbl>
            <c:dLbl>
              <c:idx val="2"/>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0E9-4764-B052-FB17D56CF466}"/>
                </c:ext>
              </c:extLst>
            </c:dLbl>
            <c:dLbl>
              <c:idx val="3"/>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4-F0E9-4764-B052-FB17D56CF466}"/>
                </c:ext>
              </c:extLst>
            </c:dLbl>
            <c:dLbl>
              <c:idx val="4"/>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0E9-4764-B052-FB17D56CF466}"/>
                </c:ext>
              </c:extLst>
            </c:dLbl>
            <c:dLbl>
              <c:idx val="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0E9-4764-B052-FB17D56CF466}"/>
                </c:ext>
              </c:extLst>
            </c:dLbl>
            <c:dLbl>
              <c:idx val="6"/>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0E9-4764-B052-FB17D56CF466}"/>
                </c:ext>
              </c:extLst>
            </c:dLbl>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Sheet1!$A$4:$A$10</c:f>
              <c:strCache>
                <c:ptCount val="7"/>
                <c:pt idx="0">
                  <c:v>Camera</c:v>
                </c:pt>
                <c:pt idx="1">
                  <c:v>Headphones</c:v>
                </c:pt>
                <c:pt idx="2">
                  <c:v>Mobile</c:v>
                </c:pt>
                <c:pt idx="3">
                  <c:v>Monitor</c:v>
                </c:pt>
                <c:pt idx="4">
                  <c:v>Smartwatch</c:v>
                </c:pt>
                <c:pt idx="5">
                  <c:v>Speaker</c:v>
                </c:pt>
                <c:pt idx="6">
                  <c:v>Tablet</c:v>
                </c:pt>
              </c:strCache>
            </c:strRef>
          </c:cat>
          <c:val>
            <c:numRef>
              <c:f>Sheet1!$B$4:$B$10</c:f>
              <c:numCache>
                <c:formatCode>General</c:formatCode>
                <c:ptCount val="7"/>
                <c:pt idx="0">
                  <c:v>101904.72</c:v>
                </c:pt>
                <c:pt idx="1">
                  <c:v>59448.152499999997</c:v>
                </c:pt>
                <c:pt idx="2">
                  <c:v>23085.599999999999</c:v>
                </c:pt>
                <c:pt idx="3">
                  <c:v>60581.993999999999</c:v>
                </c:pt>
                <c:pt idx="4">
                  <c:v>156457.41899999999</c:v>
                </c:pt>
                <c:pt idx="5">
                  <c:v>99288.382000000012</c:v>
                </c:pt>
                <c:pt idx="6">
                  <c:v>151079</c:v>
                </c:pt>
              </c:numCache>
            </c:numRef>
          </c:val>
          <c:extLst>
            <c:ext xmlns:c16="http://schemas.microsoft.com/office/drawing/2014/chart" uri="{C3380CC4-5D6E-409C-BE32-E72D297353CC}">
              <c16:uniqueId val="{00000000-63FA-40C4-811D-B3D3A8C14FBC}"/>
            </c:ext>
          </c:extLst>
        </c:ser>
        <c:dLbls>
          <c:showLegendKey val="0"/>
          <c:showVal val="0"/>
          <c:showCatName val="0"/>
          <c:showSerName val="0"/>
          <c:showPercent val="0"/>
          <c:showBubbleSize val="0"/>
        </c:dLbls>
        <c:gapWidth val="219"/>
        <c:overlap val="-27"/>
        <c:axId val="933826447"/>
        <c:axId val="176328623"/>
      </c:barChart>
      <c:catAx>
        <c:axId val="933826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28623"/>
        <c:crosses val="autoZero"/>
        <c:auto val="1"/>
        <c:lblAlgn val="ctr"/>
        <c:lblOffset val="100"/>
        <c:noMultiLvlLbl val="0"/>
      </c:catAx>
      <c:valAx>
        <c:axId val="176328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826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6</xdr:col>
      <xdr:colOff>419100</xdr:colOff>
      <xdr:row>1</xdr:row>
      <xdr:rowOff>60960</xdr:rowOff>
    </xdr:from>
    <xdr:to>
      <xdr:col>16</xdr:col>
      <xdr:colOff>129540</xdr:colOff>
      <xdr:row>25</xdr:row>
      <xdr:rowOff>0</xdr:rowOff>
    </xdr:to>
    <xdr:graphicFrame macro="">
      <xdr:nvGraphicFramePr>
        <xdr:cNvPr id="2" name="Chart 1">
          <a:extLst>
            <a:ext uri="{FF2B5EF4-FFF2-40B4-BE49-F238E27FC236}">
              <a16:creationId xmlns:a16="http://schemas.microsoft.com/office/drawing/2014/main" id="{0C9A26C1-2406-B3A7-0F6D-C9AFDC82B7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342900</xdr:colOff>
      <xdr:row>11</xdr:row>
      <xdr:rowOff>30480</xdr:rowOff>
    </xdr:from>
    <xdr:to>
      <xdr:col>4</xdr:col>
      <xdr:colOff>297180</xdr:colOff>
      <xdr:row>24</xdr:row>
      <xdr:rowOff>120015</xdr:rowOff>
    </xdr:to>
    <mc:AlternateContent xmlns:mc="http://schemas.openxmlformats.org/markup-compatibility/2006" xmlns:a14="http://schemas.microsoft.com/office/drawing/2010/main">
      <mc:Choice Requires="a14">
        <xdr:graphicFrame macro="">
          <xdr:nvGraphicFramePr>
            <xdr:cNvPr id="3" name="Region 1">
              <a:extLst>
                <a:ext uri="{FF2B5EF4-FFF2-40B4-BE49-F238E27FC236}">
                  <a16:creationId xmlns:a16="http://schemas.microsoft.com/office/drawing/2014/main" id="{B375CF56-6B0D-9057-DDFC-D2D0E12722E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369820" y="20421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266700</xdr:colOff>
      <xdr:row>0</xdr:row>
      <xdr:rowOff>137160</xdr:rowOff>
    </xdr:from>
    <xdr:to>
      <xdr:col>15</xdr:col>
      <xdr:colOff>289560</xdr:colOff>
      <xdr:row>23</xdr:row>
      <xdr:rowOff>53340</xdr:rowOff>
    </xdr:to>
    <xdr:graphicFrame macro="">
      <xdr:nvGraphicFramePr>
        <xdr:cNvPr id="2" name="Chart 1">
          <a:extLst>
            <a:ext uri="{FF2B5EF4-FFF2-40B4-BE49-F238E27FC236}">
              <a16:creationId xmlns:a16="http://schemas.microsoft.com/office/drawing/2014/main" id="{35381058-CC9F-A39B-4133-98E243218C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68580</xdr:colOff>
      <xdr:row>13</xdr:row>
      <xdr:rowOff>22860</xdr:rowOff>
    </xdr:from>
    <xdr:to>
      <xdr:col>1</xdr:col>
      <xdr:colOff>861060</xdr:colOff>
      <xdr:row>26</xdr:row>
      <xdr:rowOff>112395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FA9FA7B8-3572-6AF6-3900-4EB266F4CE6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8580" y="24003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7620</xdr:colOff>
      <xdr:row>27</xdr:row>
      <xdr:rowOff>133350</xdr:rowOff>
    </xdr:from>
    <xdr:to>
      <xdr:col>5</xdr:col>
      <xdr:colOff>525780</xdr:colOff>
      <xdr:row>42</xdr:row>
      <xdr:rowOff>133350</xdr:rowOff>
    </xdr:to>
    <xdr:graphicFrame macro="">
      <xdr:nvGraphicFramePr>
        <xdr:cNvPr id="4" name="Chart 3">
          <a:extLst>
            <a:ext uri="{FF2B5EF4-FFF2-40B4-BE49-F238E27FC236}">
              <a16:creationId xmlns:a16="http://schemas.microsoft.com/office/drawing/2014/main" id="{30A1D643-2B47-15D7-0BE9-1DFCE80DE1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220980</xdr:colOff>
      <xdr:row>27</xdr:row>
      <xdr:rowOff>3810</xdr:rowOff>
    </xdr:from>
    <xdr:to>
      <xdr:col>13</xdr:col>
      <xdr:colOff>525780</xdr:colOff>
      <xdr:row>42</xdr:row>
      <xdr:rowOff>3810</xdr:rowOff>
    </xdr:to>
    <xdr:graphicFrame macro="">
      <xdr:nvGraphicFramePr>
        <xdr:cNvPr id="5" name="Chart 4">
          <a:extLst>
            <a:ext uri="{FF2B5EF4-FFF2-40B4-BE49-F238E27FC236}">
              <a16:creationId xmlns:a16="http://schemas.microsoft.com/office/drawing/2014/main" id="{D9AD13A5-5D93-5647-250D-F3AF36B4D7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7</xdr:row>
      <xdr:rowOff>0</xdr:rowOff>
    </xdr:from>
    <xdr:to>
      <xdr:col>14</xdr:col>
      <xdr:colOff>7620</xdr:colOff>
      <xdr:row>27</xdr:row>
      <xdr:rowOff>114300</xdr:rowOff>
    </xdr:to>
    <xdr:graphicFrame macro="">
      <xdr:nvGraphicFramePr>
        <xdr:cNvPr id="2" name="Chart 1">
          <a:extLst>
            <a:ext uri="{FF2B5EF4-FFF2-40B4-BE49-F238E27FC236}">
              <a16:creationId xmlns:a16="http://schemas.microsoft.com/office/drawing/2014/main" id="{A239984D-8C72-051C-6CF3-086134ABEF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157480</xdr:colOff>
      <xdr:row>10</xdr:row>
      <xdr:rowOff>40640</xdr:rowOff>
    </xdr:from>
    <xdr:to>
      <xdr:col>19</xdr:col>
      <xdr:colOff>233680</xdr:colOff>
      <xdr:row>25</xdr:row>
      <xdr:rowOff>91440</xdr:rowOff>
    </xdr:to>
    <mc:AlternateContent xmlns:mc="http://schemas.openxmlformats.org/markup-compatibility/2006" xmlns:a14="http://schemas.microsoft.com/office/drawing/2010/main">
      <mc:Choice Requires="a14">
        <xdr:graphicFrame macro="">
          <xdr:nvGraphicFramePr>
            <xdr:cNvPr id="3" name="Region 2">
              <a:extLst>
                <a:ext uri="{FF2B5EF4-FFF2-40B4-BE49-F238E27FC236}">
                  <a16:creationId xmlns:a16="http://schemas.microsoft.com/office/drawing/2014/main" id="{7EB2ECF9-03C7-E835-746A-71C78D0D738E}"/>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8181340" y="1983740"/>
              <a:ext cx="1905000" cy="279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viyarasan" refreshedDate="46154.671104976849" createdVersion="8" refreshedVersion="8" minRefreshableVersion="3" recordCount="50" xr:uid="{C1B8FB6D-2C00-44CA-8801-B11412F46246}">
  <cacheSource type="worksheet">
    <worksheetSource ref="A1:K51" sheet="Sales Data"/>
  </cacheSource>
  <cacheFields count="11">
    <cacheField name="Order ID" numFmtId="0">
      <sharedItems containsSemiMixedTypes="0" containsString="0" containsNumber="1" containsInteger="1" minValue="1001" maxValue="1050"/>
    </cacheField>
    <cacheField name="Date " numFmtId="0">
      <sharedItems count="33">
        <s v="2024-01-22"/>
        <s v="2024-01-17"/>
        <s v="2024-01-26"/>
        <s v="2024-01-25"/>
        <s v="2024-01-20"/>
        <s v="2024-01-03"/>
        <s v="2024-01-15"/>
        <s v="2024-01-23"/>
        <s v="2024-01-21"/>
        <s v="2024-01-13"/>
        <s v="2024-01-07"/>
        <s v="2024-01-24"/>
        <s v="2024-01-01"/>
        <s v="2024-01-08"/>
        <s v="2024-01-28"/>
        <s v="2024-01-19"/>
        <s v="2024-02-12"/>
        <s v="2024-02-02"/>
        <s v="2024-02-15"/>
        <s v="2024-02-06"/>
        <s v="2024-02-10"/>
        <s v="2024-02-19"/>
        <s v="2024-02-28"/>
        <s v="2024-02-03"/>
        <s v="2024-02-20"/>
        <s v="2024-02-11"/>
        <s v="2024-02-22"/>
        <s v="2024-02-01"/>
        <s v="2024-02-05"/>
        <s v="2024-02-27"/>
        <s v="2024-02-09"/>
        <s v="2024-02-23"/>
        <s v="2024-02-21"/>
      </sharedItems>
    </cacheField>
    <cacheField name="Product" numFmtId="0">
      <sharedItems count="8">
        <s v="Mobile"/>
        <s v="Laptop"/>
        <s v="Camera"/>
        <s v="Smartwatch"/>
        <s v="Headphones"/>
        <s v="Monitor"/>
        <s v="Speaker"/>
        <s v="Tablet"/>
      </sharedItems>
    </cacheField>
    <cacheField name="Region" numFmtId="0">
      <sharedItems count="4">
        <s v="North"/>
        <s v="West"/>
        <s v="South"/>
        <s v="East"/>
      </sharedItems>
    </cacheField>
    <cacheField name="Salesperson" numFmtId="0">
      <sharedItems/>
    </cacheField>
    <cacheField name="Units" numFmtId="3">
      <sharedItems containsSemiMixedTypes="0" containsString="0" containsNumber="1" containsInteger="1" minValue="1" maxValue="15"/>
    </cacheField>
    <cacheField name="Price(₹)" numFmtId="4">
      <sharedItems containsSemiMixedTypes="0" containsString="0" containsNumber="1" minValue="3232.54" maxValue="70393.5"/>
    </cacheField>
    <cacheField name="Revenue(₹)" numFmtId="4">
      <sharedItems containsSemiMixedTypes="0" containsString="0" containsNumber="1" minValue="4425.25" maxValue="747831.37"/>
    </cacheField>
    <cacheField name="Discount(%) " numFmtId="164">
      <sharedItems containsSemiMixedTypes="0" containsString="0" containsNumber="1" minValue="0" maxValue="0.2"/>
    </cacheField>
    <cacheField name="Net Revenue" numFmtId="0">
      <sharedItems containsSemiMixedTypes="0" containsString="0" containsNumber="1" minValue="3540.2000000000003" maxValue="710439.80149999994"/>
    </cacheField>
    <cacheField name="product count " numFmtId="0">
      <sharedItems containsBlank="1"/>
    </cacheField>
  </cacheFields>
  <extLst>
    <ext xmlns:x14="http://schemas.microsoft.com/office/spreadsheetml/2009/9/main" uri="{725AE2AE-9491-48be-B2B4-4EB974FC3084}">
      <x14:pivotCacheDefinition pivotCacheId="42095003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viyarasan" refreshedDate="46186.917668055554" createdVersion="8" refreshedVersion="8" minRefreshableVersion="3" recordCount="50" xr:uid="{72D94858-8B90-4AA5-BAB2-777535B84A7F}">
  <cacheSource type="worksheet">
    <worksheetSource ref="A1:K51" sheet="Sales Data"/>
  </cacheSource>
  <cacheFields count="11">
    <cacheField name="Order ID" numFmtId="0">
      <sharedItems containsSemiMixedTypes="0" containsString="0" containsNumber="1" containsInteger="1" minValue="1001" maxValue="1050"/>
    </cacheField>
    <cacheField name="Date " numFmtId="0">
      <sharedItems/>
    </cacheField>
    <cacheField name="Product" numFmtId="0">
      <sharedItems count="8">
        <s v="Mobile"/>
        <s v="Laptop"/>
        <s v="Camera"/>
        <s v="Smartwatch"/>
        <s v="Headphones"/>
        <s v="Monitor"/>
        <s v="Speaker"/>
        <s v="Tablet"/>
      </sharedItems>
    </cacheField>
    <cacheField name="Region" numFmtId="0">
      <sharedItems count="4">
        <s v="North"/>
        <s v="West"/>
        <s v="South"/>
        <s v="East"/>
      </sharedItems>
    </cacheField>
    <cacheField name="Salesperson" numFmtId="0">
      <sharedItems/>
    </cacheField>
    <cacheField name="Units" numFmtId="3">
      <sharedItems containsSemiMixedTypes="0" containsString="0" containsNumber="1" containsInteger="1" minValue="1" maxValue="15"/>
    </cacheField>
    <cacheField name="Price(₹)" numFmtId="4">
      <sharedItems containsSemiMixedTypes="0" containsString="0" containsNumber="1" minValue="3232.54" maxValue="70393.5"/>
    </cacheField>
    <cacheField name="Revenue(₹)" numFmtId="4">
      <sharedItems containsSemiMixedTypes="0" containsString="0" containsNumber="1" minValue="4425.25" maxValue="747831.37"/>
    </cacheField>
    <cacheField name="Discount(%) " numFmtId="164">
      <sharedItems containsSemiMixedTypes="0" containsString="0" containsNumber="1" minValue="0" maxValue="0.2"/>
    </cacheField>
    <cacheField name="Net Revenue" numFmtId="0">
      <sharedItems containsSemiMixedTypes="0" containsString="0" containsNumber="1" minValue="3540.2000000000003" maxValue="710439.80149999994"/>
    </cacheField>
    <cacheField name="product count " numFmtId="0">
      <sharedItems containsBlank="1"/>
    </cacheField>
  </cacheFields>
  <extLst>
    <ext xmlns:x14="http://schemas.microsoft.com/office/spreadsheetml/2009/9/main" uri="{725AE2AE-9491-48be-B2B4-4EB974FC3084}">
      <x14:pivotCacheDefinition pivotCacheId="3069458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001"/>
    <x v="0"/>
    <x v="0"/>
    <x v="0"/>
    <s v="Suresh"/>
    <n v="4"/>
    <n v="23895.07"/>
    <n v="95580.28"/>
    <n v="0"/>
    <n v="95580.28"/>
    <m/>
  </r>
  <r>
    <n v="1002"/>
    <x v="1"/>
    <x v="0"/>
    <x v="1"/>
    <s v="Arjun"/>
    <n v="1"/>
    <n v="23085.599999999999"/>
    <n v="23085.599999999999"/>
    <n v="0"/>
    <n v="23085.599999999999"/>
    <s v="Headphones"/>
  </r>
  <r>
    <n v="1003"/>
    <x v="2"/>
    <x v="1"/>
    <x v="2"/>
    <s v="Vikram"/>
    <n v="4"/>
    <n v="65799.649999999994"/>
    <n v="263198.59999999998"/>
    <n v="0.1"/>
    <n v="236878.74"/>
    <m/>
  </r>
  <r>
    <n v="1004"/>
    <x v="3"/>
    <x v="1"/>
    <x v="2"/>
    <s v="Vikram"/>
    <n v="6"/>
    <n v="63015.41"/>
    <n v="378092.46"/>
    <n v="0.15"/>
    <n v="321378.59100000001"/>
    <m/>
  </r>
  <r>
    <n v="1005"/>
    <x v="4"/>
    <x v="2"/>
    <x v="0"/>
    <s v="Priya"/>
    <n v="7"/>
    <n v="41588.06"/>
    <n v="291116.42"/>
    <n v="0.2"/>
    <n v="232893.136"/>
    <m/>
  </r>
  <r>
    <n v="1006"/>
    <x v="5"/>
    <x v="3"/>
    <x v="0"/>
    <s v="Anitha"/>
    <n v="9"/>
    <n v="7449.65"/>
    <n v="67046.849999999991"/>
    <n v="0.15"/>
    <n v="56989.822499999987"/>
    <m/>
  </r>
  <r>
    <n v="1007"/>
    <x v="3"/>
    <x v="3"/>
    <x v="3"/>
    <s v="Kavitha"/>
    <n v="12"/>
    <n v="7339.11"/>
    <n v="88069.319999999992"/>
    <n v="0.05"/>
    <n v="83665.853999999992"/>
    <m/>
  </r>
  <r>
    <n v="1008"/>
    <x v="6"/>
    <x v="3"/>
    <x v="0"/>
    <s v="Kavitha"/>
    <n v="14"/>
    <n v="7402"/>
    <n v="103628"/>
    <n v="0.05"/>
    <n v="98446.599999999991"/>
    <s v="Mobile"/>
  </r>
  <r>
    <n v="1009"/>
    <x v="7"/>
    <x v="2"/>
    <x v="2"/>
    <s v="Meena"/>
    <n v="6"/>
    <n v="42856.95"/>
    <n v="257141.69999999998"/>
    <n v="0.1"/>
    <n v="231427.53"/>
    <s v="Laptop"/>
  </r>
  <r>
    <n v="1010"/>
    <x v="8"/>
    <x v="0"/>
    <x v="2"/>
    <s v="Kavitha"/>
    <n v="3"/>
    <n v="25389.13"/>
    <n v="76167.39"/>
    <n v="0.2"/>
    <n v="60933.912000000004"/>
    <s v="Camera"/>
  </r>
  <r>
    <n v="1011"/>
    <x v="9"/>
    <x v="4"/>
    <x v="3"/>
    <s v="Arjun"/>
    <n v="4"/>
    <n v="3869.08"/>
    <n v="15476.32"/>
    <n v="0.1"/>
    <n v="13928.688"/>
    <s v="Smartwatch"/>
  </r>
  <r>
    <n v="1012"/>
    <x v="10"/>
    <x v="3"/>
    <x v="0"/>
    <s v="Kavitha"/>
    <n v="15"/>
    <n v="9085.82"/>
    <n v="136287.29999999999"/>
    <n v="0.05"/>
    <n v="129472.93499999998"/>
    <s v="Headphones"/>
  </r>
  <r>
    <n v="1013"/>
    <x v="11"/>
    <x v="5"/>
    <x v="1"/>
    <s v="Anitha"/>
    <n v="3"/>
    <n v="21256.84"/>
    <n v="63770.520000000004"/>
    <n v="0.05"/>
    <n v="60581.993999999999"/>
    <s v="Monitor"/>
  </r>
  <r>
    <n v="1014"/>
    <x v="1"/>
    <x v="3"/>
    <x v="1"/>
    <s v="Vikram"/>
    <n v="6"/>
    <n v="7638.64"/>
    <n v="45831.840000000004"/>
    <n v="0.15"/>
    <n v="38957.064000000006"/>
    <s v="Speaker"/>
  </r>
  <r>
    <n v="1015"/>
    <x v="2"/>
    <x v="5"/>
    <x v="0"/>
    <s v="Arjun"/>
    <n v="14"/>
    <n v="20403.07"/>
    <n v="285642.98"/>
    <n v="0.2"/>
    <n v="228514.38399999999"/>
    <s v="Tablet"/>
  </r>
  <r>
    <n v="1016"/>
    <x v="1"/>
    <x v="6"/>
    <x v="0"/>
    <s v="Vikram"/>
    <n v="7"/>
    <n v="4720.37"/>
    <n v="33042.589999999997"/>
    <n v="0.15"/>
    <n v="28086.201499999996"/>
    <m/>
  </r>
  <r>
    <n v="1017"/>
    <x v="3"/>
    <x v="3"/>
    <x v="0"/>
    <s v="Priya"/>
    <n v="11"/>
    <n v="8969.58"/>
    <n v="98665.38"/>
    <n v="0.15"/>
    <n v="83865.573000000004"/>
    <m/>
  </r>
  <r>
    <n v="1018"/>
    <x v="11"/>
    <x v="2"/>
    <x v="0"/>
    <s v="Suresh"/>
    <n v="7"/>
    <n v="42279.27"/>
    <n v="295954.88999999996"/>
    <n v="0.1"/>
    <n v="266359.40099999995"/>
    <m/>
  </r>
  <r>
    <n v="1019"/>
    <x v="4"/>
    <x v="3"/>
    <x v="2"/>
    <s v="Priya"/>
    <n v="14"/>
    <n v="8450.6"/>
    <n v="118308.40000000001"/>
    <n v="0.15"/>
    <n v="100562.14"/>
    <m/>
  </r>
  <r>
    <n v="1020"/>
    <x v="12"/>
    <x v="4"/>
    <x v="2"/>
    <s v="Meena"/>
    <n v="13"/>
    <n v="3291.36"/>
    <n v="42787.68"/>
    <n v="0"/>
    <n v="42787.68"/>
    <m/>
  </r>
  <r>
    <n v="1021"/>
    <x v="13"/>
    <x v="2"/>
    <x v="1"/>
    <s v="Arjun"/>
    <n v="2"/>
    <n v="50952.36"/>
    <n v="101904.72"/>
    <n v="0"/>
    <n v="101904.72"/>
    <m/>
  </r>
  <r>
    <n v="1022"/>
    <x v="3"/>
    <x v="1"/>
    <x v="2"/>
    <s v="Priya"/>
    <n v="2"/>
    <n v="70393.5"/>
    <n v="140787"/>
    <n v="0.15"/>
    <n v="119668.95"/>
    <m/>
  </r>
  <r>
    <n v="1023"/>
    <x v="14"/>
    <x v="7"/>
    <x v="2"/>
    <s v="Anitha"/>
    <n v="9"/>
    <n v="32944.86"/>
    <n v="296503.74"/>
    <n v="0.2"/>
    <n v="237202.992"/>
    <m/>
  </r>
  <r>
    <n v="1024"/>
    <x v="6"/>
    <x v="6"/>
    <x v="2"/>
    <s v="Kavitha"/>
    <n v="12"/>
    <n v="4400.68"/>
    <n v="52808.160000000003"/>
    <n v="0.15"/>
    <n v="44886.936000000002"/>
    <m/>
  </r>
  <r>
    <n v="1025"/>
    <x v="15"/>
    <x v="5"/>
    <x v="0"/>
    <s v="Kavitha"/>
    <n v="4"/>
    <n v="20152.14"/>
    <n v="80608.56"/>
    <n v="0.05"/>
    <n v="76578.131999999998"/>
    <m/>
  </r>
  <r>
    <n v="1026"/>
    <x v="13"/>
    <x v="4"/>
    <x v="2"/>
    <s v="Arjun"/>
    <n v="2"/>
    <n v="3769.36"/>
    <n v="7538.72"/>
    <n v="0.05"/>
    <n v="7161.7839999999997"/>
    <m/>
  </r>
  <r>
    <n v="1027"/>
    <x v="0"/>
    <x v="0"/>
    <x v="0"/>
    <s v="Meena"/>
    <n v="2"/>
    <n v="25713.48"/>
    <n v="51426.96"/>
    <n v="0.2"/>
    <n v="41141.567999999999"/>
    <m/>
  </r>
  <r>
    <n v="1028"/>
    <x v="15"/>
    <x v="5"/>
    <x v="2"/>
    <s v="Ravi"/>
    <n v="12"/>
    <n v="24945.33"/>
    <n v="299343.96000000002"/>
    <n v="0.1"/>
    <n v="269409.56400000001"/>
    <m/>
  </r>
  <r>
    <n v="1029"/>
    <x v="16"/>
    <x v="4"/>
    <x v="1"/>
    <s v="Vikram"/>
    <n v="4"/>
    <n v="3232.54"/>
    <n v="12930.16"/>
    <n v="0"/>
    <n v="12930.16"/>
    <m/>
  </r>
  <r>
    <n v="1030"/>
    <x v="17"/>
    <x v="6"/>
    <x v="1"/>
    <s v="Anitha"/>
    <n v="14"/>
    <n v="4870.21"/>
    <n v="68182.94"/>
    <n v="0"/>
    <n v="68182.94"/>
    <m/>
  </r>
  <r>
    <n v="1031"/>
    <x v="18"/>
    <x v="6"/>
    <x v="3"/>
    <s v="Priya"/>
    <n v="4"/>
    <n v="4265.54"/>
    <n v="17062.16"/>
    <n v="0.1"/>
    <n v="15355.944"/>
    <m/>
  </r>
  <r>
    <n v="1032"/>
    <x v="18"/>
    <x v="7"/>
    <x v="1"/>
    <s v="Ravi"/>
    <n v="5"/>
    <n v="35548"/>
    <n v="177740"/>
    <n v="0.15"/>
    <n v="151079"/>
    <m/>
  </r>
  <r>
    <n v="1033"/>
    <x v="19"/>
    <x v="0"/>
    <x v="0"/>
    <s v="Arjun"/>
    <n v="2"/>
    <n v="28289.79"/>
    <n v="56579.58"/>
    <n v="0.2"/>
    <n v="45263.664000000004"/>
    <m/>
  </r>
  <r>
    <n v="1034"/>
    <x v="19"/>
    <x v="6"/>
    <x v="1"/>
    <s v="Anitha"/>
    <n v="4"/>
    <n v="5022.7299999999996"/>
    <n v="20090.919999999998"/>
    <n v="0.15"/>
    <n v="17077.281999999999"/>
    <m/>
  </r>
  <r>
    <n v="1035"/>
    <x v="20"/>
    <x v="6"/>
    <x v="0"/>
    <s v="Vikram"/>
    <n v="5"/>
    <n v="5092.33"/>
    <n v="25461.65"/>
    <n v="0.1"/>
    <n v="22915.485000000001"/>
    <m/>
  </r>
  <r>
    <n v="1036"/>
    <x v="21"/>
    <x v="6"/>
    <x v="1"/>
    <s v="Ravi"/>
    <n v="4"/>
    <n v="4383.8"/>
    <n v="17535.2"/>
    <n v="0.2"/>
    <n v="14028.160000000002"/>
    <m/>
  </r>
  <r>
    <n v="1037"/>
    <x v="22"/>
    <x v="1"/>
    <x v="3"/>
    <s v="Arjun"/>
    <n v="1"/>
    <n v="67992.89"/>
    <n v="67992.89"/>
    <n v="0"/>
    <n v="67992.89"/>
    <m/>
  </r>
  <r>
    <n v="1038"/>
    <x v="23"/>
    <x v="7"/>
    <x v="0"/>
    <s v="Priya"/>
    <n v="14"/>
    <n v="33125.97"/>
    <n v="463763.58"/>
    <n v="0"/>
    <n v="463763.58"/>
    <m/>
  </r>
  <r>
    <n v="1039"/>
    <x v="24"/>
    <x v="4"/>
    <x v="1"/>
    <s v="Priya"/>
    <n v="15"/>
    <n v="3648.47"/>
    <n v="54727.049999999996"/>
    <n v="0.15"/>
    <n v="46517.992499999993"/>
    <m/>
  </r>
  <r>
    <n v="1040"/>
    <x v="25"/>
    <x v="1"/>
    <x v="0"/>
    <s v="Vikram"/>
    <n v="11"/>
    <n v="67984.67"/>
    <n v="747831.37"/>
    <n v="0.05"/>
    <n v="710439.80149999994"/>
    <m/>
  </r>
  <r>
    <n v="1041"/>
    <x v="26"/>
    <x v="3"/>
    <x v="2"/>
    <s v="Meena"/>
    <n v="4"/>
    <n v="7731.23"/>
    <n v="30924.92"/>
    <n v="0.1"/>
    <n v="27832.428"/>
    <m/>
  </r>
  <r>
    <n v="1042"/>
    <x v="27"/>
    <x v="3"/>
    <x v="1"/>
    <s v="Meena"/>
    <n v="15"/>
    <n v="8703.73"/>
    <n v="130555.95"/>
    <n v="0.1"/>
    <n v="117500.355"/>
    <m/>
  </r>
  <r>
    <n v="1043"/>
    <x v="28"/>
    <x v="5"/>
    <x v="0"/>
    <s v="Priya"/>
    <n v="9"/>
    <n v="20972.35"/>
    <n v="188751.15"/>
    <n v="0.15"/>
    <n v="160438.47749999998"/>
    <m/>
  </r>
  <r>
    <n v="1044"/>
    <x v="29"/>
    <x v="2"/>
    <x v="0"/>
    <s v="Kavitha"/>
    <n v="6"/>
    <n v="43706.11"/>
    <n v="262236.66000000003"/>
    <n v="0.1"/>
    <n v="236012.99400000004"/>
    <m/>
  </r>
  <r>
    <n v="1045"/>
    <x v="30"/>
    <x v="3"/>
    <x v="0"/>
    <s v="Suresh"/>
    <n v="15"/>
    <n v="8526.7800000000007"/>
    <n v="127901.70000000001"/>
    <n v="0"/>
    <n v="127901.70000000001"/>
    <m/>
  </r>
  <r>
    <n v="1046"/>
    <x v="31"/>
    <x v="0"/>
    <x v="0"/>
    <s v="Ravi"/>
    <n v="5"/>
    <n v="24260.98"/>
    <n v="121304.9"/>
    <n v="0.15"/>
    <n v="103109.16499999999"/>
    <m/>
  </r>
  <r>
    <n v="1047"/>
    <x v="23"/>
    <x v="2"/>
    <x v="2"/>
    <s v="Suresh"/>
    <n v="9"/>
    <n v="45995.98"/>
    <n v="413963.82"/>
    <n v="0"/>
    <n v="413963.82"/>
    <m/>
  </r>
  <r>
    <n v="1048"/>
    <x v="32"/>
    <x v="6"/>
    <x v="3"/>
    <s v="Arjun"/>
    <n v="1"/>
    <n v="4425.25"/>
    <n v="4425.25"/>
    <n v="0.2"/>
    <n v="3540.2000000000003"/>
    <m/>
  </r>
  <r>
    <n v="1049"/>
    <x v="27"/>
    <x v="3"/>
    <x v="2"/>
    <s v="Anitha"/>
    <n v="9"/>
    <n v="8611.33"/>
    <n v="77501.97"/>
    <n v="0.2"/>
    <n v="62001.576000000001"/>
    <m/>
  </r>
  <r>
    <n v="1050"/>
    <x v="21"/>
    <x v="0"/>
    <x v="0"/>
    <s v="Ravi"/>
    <n v="9"/>
    <n v="22725.18"/>
    <n v="204526.62"/>
    <n v="0.05"/>
    <n v="194300.28899999999"/>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001"/>
    <s v="2024-01-22"/>
    <x v="0"/>
    <x v="0"/>
    <s v="Suresh"/>
    <n v="4"/>
    <n v="23895.07"/>
    <n v="95580.28"/>
    <n v="0"/>
    <n v="95580.28"/>
    <m/>
  </r>
  <r>
    <n v="1002"/>
    <s v="2024-01-17"/>
    <x v="0"/>
    <x v="1"/>
    <s v="Arjun"/>
    <n v="1"/>
    <n v="23085.599999999999"/>
    <n v="23085.599999999999"/>
    <n v="0"/>
    <n v="23085.599999999999"/>
    <s v="Headphones"/>
  </r>
  <r>
    <n v="1003"/>
    <s v="2024-01-26"/>
    <x v="1"/>
    <x v="2"/>
    <s v="Vikram"/>
    <n v="4"/>
    <n v="65799.649999999994"/>
    <n v="263198.59999999998"/>
    <n v="0.1"/>
    <n v="236878.74"/>
    <m/>
  </r>
  <r>
    <n v="1004"/>
    <s v="2024-01-25"/>
    <x v="1"/>
    <x v="2"/>
    <s v="Vikram"/>
    <n v="6"/>
    <n v="63015.41"/>
    <n v="378092.46"/>
    <n v="0.15"/>
    <n v="321378.59100000001"/>
    <m/>
  </r>
  <r>
    <n v="1005"/>
    <s v="2024-01-20"/>
    <x v="2"/>
    <x v="0"/>
    <s v="Priya"/>
    <n v="7"/>
    <n v="41588.06"/>
    <n v="291116.42"/>
    <n v="0.2"/>
    <n v="232893.136"/>
    <m/>
  </r>
  <r>
    <n v="1006"/>
    <s v="2024-01-03"/>
    <x v="3"/>
    <x v="0"/>
    <s v="Anitha"/>
    <n v="9"/>
    <n v="7449.65"/>
    <n v="67046.849999999991"/>
    <n v="0.15"/>
    <n v="56989.822499999987"/>
    <m/>
  </r>
  <r>
    <n v="1007"/>
    <s v="2024-01-25"/>
    <x v="3"/>
    <x v="3"/>
    <s v="Kavitha"/>
    <n v="12"/>
    <n v="7339.11"/>
    <n v="88069.319999999992"/>
    <n v="0.05"/>
    <n v="83665.853999999992"/>
    <m/>
  </r>
  <r>
    <n v="1008"/>
    <s v="2024-01-15"/>
    <x v="3"/>
    <x v="0"/>
    <s v="Kavitha"/>
    <n v="14"/>
    <n v="7402"/>
    <n v="103628"/>
    <n v="0.05"/>
    <n v="98446.599999999991"/>
    <s v="Mobile"/>
  </r>
  <r>
    <n v="1009"/>
    <s v="2024-01-23"/>
    <x v="2"/>
    <x v="2"/>
    <s v="Meena"/>
    <n v="6"/>
    <n v="42856.95"/>
    <n v="257141.69999999998"/>
    <n v="0.1"/>
    <n v="231427.53"/>
    <s v="Laptop"/>
  </r>
  <r>
    <n v="1010"/>
    <s v="2024-01-21"/>
    <x v="0"/>
    <x v="2"/>
    <s v="Kavitha"/>
    <n v="3"/>
    <n v="25389.13"/>
    <n v="76167.39"/>
    <n v="0.2"/>
    <n v="60933.912000000004"/>
    <s v="Camera"/>
  </r>
  <r>
    <n v="1011"/>
    <s v="2024-01-13"/>
    <x v="4"/>
    <x v="3"/>
    <s v="Arjun"/>
    <n v="4"/>
    <n v="3869.08"/>
    <n v="15476.32"/>
    <n v="0.1"/>
    <n v="13928.688"/>
    <s v="Smartwatch"/>
  </r>
  <r>
    <n v="1012"/>
    <s v="2024-01-07"/>
    <x v="3"/>
    <x v="0"/>
    <s v="Kavitha"/>
    <n v="15"/>
    <n v="9085.82"/>
    <n v="136287.29999999999"/>
    <n v="0.05"/>
    <n v="129472.93499999998"/>
    <s v="Headphones"/>
  </r>
  <r>
    <n v="1013"/>
    <s v="2024-01-24"/>
    <x v="5"/>
    <x v="1"/>
    <s v="Anitha"/>
    <n v="3"/>
    <n v="21256.84"/>
    <n v="63770.520000000004"/>
    <n v="0.05"/>
    <n v="60581.993999999999"/>
    <s v="Monitor"/>
  </r>
  <r>
    <n v="1014"/>
    <s v="2024-01-17"/>
    <x v="3"/>
    <x v="1"/>
    <s v="Vikram"/>
    <n v="6"/>
    <n v="7638.64"/>
    <n v="45831.840000000004"/>
    <n v="0.15"/>
    <n v="38957.064000000006"/>
    <s v="Speaker"/>
  </r>
  <r>
    <n v="1015"/>
    <s v="2024-01-26"/>
    <x v="5"/>
    <x v="0"/>
    <s v="Arjun"/>
    <n v="14"/>
    <n v="20403.07"/>
    <n v="285642.98"/>
    <n v="0.2"/>
    <n v="228514.38399999999"/>
    <s v="Tablet"/>
  </r>
  <r>
    <n v="1016"/>
    <s v="2024-01-17"/>
    <x v="6"/>
    <x v="0"/>
    <s v="Vikram"/>
    <n v="7"/>
    <n v="4720.37"/>
    <n v="33042.589999999997"/>
    <n v="0.15"/>
    <n v="28086.201499999996"/>
    <m/>
  </r>
  <r>
    <n v="1017"/>
    <s v="2024-01-25"/>
    <x v="3"/>
    <x v="0"/>
    <s v="Priya"/>
    <n v="11"/>
    <n v="8969.58"/>
    <n v="98665.38"/>
    <n v="0.15"/>
    <n v="83865.573000000004"/>
    <m/>
  </r>
  <r>
    <n v="1018"/>
    <s v="2024-01-24"/>
    <x v="2"/>
    <x v="0"/>
    <s v="Suresh"/>
    <n v="7"/>
    <n v="42279.27"/>
    <n v="295954.88999999996"/>
    <n v="0.1"/>
    <n v="266359.40099999995"/>
    <m/>
  </r>
  <r>
    <n v="1019"/>
    <s v="2024-01-20"/>
    <x v="3"/>
    <x v="2"/>
    <s v="Priya"/>
    <n v="14"/>
    <n v="8450.6"/>
    <n v="118308.40000000001"/>
    <n v="0.15"/>
    <n v="100562.14"/>
    <m/>
  </r>
  <r>
    <n v="1020"/>
    <s v="2024-01-01"/>
    <x v="4"/>
    <x v="2"/>
    <s v="Meena"/>
    <n v="13"/>
    <n v="3291.36"/>
    <n v="42787.68"/>
    <n v="0"/>
    <n v="42787.68"/>
    <m/>
  </r>
  <r>
    <n v="1021"/>
    <s v="2024-01-08"/>
    <x v="2"/>
    <x v="1"/>
    <s v="Arjun"/>
    <n v="2"/>
    <n v="50952.36"/>
    <n v="101904.72"/>
    <n v="0"/>
    <n v="101904.72"/>
    <m/>
  </r>
  <r>
    <n v="1022"/>
    <s v="2024-01-25"/>
    <x v="1"/>
    <x v="2"/>
    <s v="Priya"/>
    <n v="2"/>
    <n v="70393.5"/>
    <n v="140787"/>
    <n v="0.15"/>
    <n v="119668.95"/>
    <m/>
  </r>
  <r>
    <n v="1023"/>
    <s v="2024-01-28"/>
    <x v="7"/>
    <x v="2"/>
    <s v="Anitha"/>
    <n v="9"/>
    <n v="32944.86"/>
    <n v="296503.74"/>
    <n v="0.2"/>
    <n v="237202.992"/>
    <m/>
  </r>
  <r>
    <n v="1024"/>
    <s v="2024-01-15"/>
    <x v="6"/>
    <x v="2"/>
    <s v="Kavitha"/>
    <n v="12"/>
    <n v="4400.68"/>
    <n v="52808.160000000003"/>
    <n v="0.15"/>
    <n v="44886.936000000002"/>
    <m/>
  </r>
  <r>
    <n v="1025"/>
    <s v="2024-01-19"/>
    <x v="5"/>
    <x v="0"/>
    <s v="Kavitha"/>
    <n v="4"/>
    <n v="20152.14"/>
    <n v="80608.56"/>
    <n v="0.05"/>
    <n v="76578.131999999998"/>
    <m/>
  </r>
  <r>
    <n v="1026"/>
    <s v="2024-01-08"/>
    <x v="4"/>
    <x v="2"/>
    <s v="Arjun"/>
    <n v="2"/>
    <n v="3769.36"/>
    <n v="7538.72"/>
    <n v="0.05"/>
    <n v="7161.7839999999997"/>
    <m/>
  </r>
  <r>
    <n v="1027"/>
    <s v="2024-01-22"/>
    <x v="0"/>
    <x v="0"/>
    <s v="Meena"/>
    <n v="2"/>
    <n v="25713.48"/>
    <n v="51426.96"/>
    <n v="0.2"/>
    <n v="41141.567999999999"/>
    <m/>
  </r>
  <r>
    <n v="1028"/>
    <s v="2024-01-19"/>
    <x v="5"/>
    <x v="2"/>
    <s v="Ravi"/>
    <n v="12"/>
    <n v="24945.33"/>
    <n v="299343.96000000002"/>
    <n v="0.1"/>
    <n v="269409.56400000001"/>
    <m/>
  </r>
  <r>
    <n v="1029"/>
    <s v="2024-02-12"/>
    <x v="4"/>
    <x v="1"/>
    <s v="Vikram"/>
    <n v="4"/>
    <n v="3232.54"/>
    <n v="12930.16"/>
    <n v="0"/>
    <n v="12930.16"/>
    <m/>
  </r>
  <r>
    <n v="1030"/>
    <s v="2024-02-02"/>
    <x v="6"/>
    <x v="1"/>
    <s v="Anitha"/>
    <n v="14"/>
    <n v="4870.21"/>
    <n v="68182.94"/>
    <n v="0"/>
    <n v="68182.94"/>
    <m/>
  </r>
  <r>
    <n v="1031"/>
    <s v="2024-02-15"/>
    <x v="6"/>
    <x v="3"/>
    <s v="Priya"/>
    <n v="4"/>
    <n v="4265.54"/>
    <n v="17062.16"/>
    <n v="0.1"/>
    <n v="15355.944"/>
    <m/>
  </r>
  <r>
    <n v="1032"/>
    <s v="2024-02-15"/>
    <x v="7"/>
    <x v="1"/>
    <s v="Ravi"/>
    <n v="5"/>
    <n v="35548"/>
    <n v="177740"/>
    <n v="0.15"/>
    <n v="151079"/>
    <m/>
  </r>
  <r>
    <n v="1033"/>
    <s v="2024-02-06"/>
    <x v="0"/>
    <x v="0"/>
    <s v="Arjun"/>
    <n v="2"/>
    <n v="28289.79"/>
    <n v="56579.58"/>
    <n v="0.2"/>
    <n v="45263.664000000004"/>
    <m/>
  </r>
  <r>
    <n v="1034"/>
    <s v="2024-02-06"/>
    <x v="6"/>
    <x v="1"/>
    <s v="Anitha"/>
    <n v="4"/>
    <n v="5022.7299999999996"/>
    <n v="20090.919999999998"/>
    <n v="0.15"/>
    <n v="17077.281999999999"/>
    <m/>
  </r>
  <r>
    <n v="1035"/>
    <s v="2024-02-10"/>
    <x v="6"/>
    <x v="0"/>
    <s v="Vikram"/>
    <n v="5"/>
    <n v="5092.33"/>
    <n v="25461.65"/>
    <n v="0.1"/>
    <n v="22915.485000000001"/>
    <m/>
  </r>
  <r>
    <n v="1036"/>
    <s v="2024-02-19"/>
    <x v="6"/>
    <x v="1"/>
    <s v="Ravi"/>
    <n v="4"/>
    <n v="4383.8"/>
    <n v="17535.2"/>
    <n v="0.2"/>
    <n v="14028.160000000002"/>
    <m/>
  </r>
  <r>
    <n v="1037"/>
    <s v="2024-02-28"/>
    <x v="1"/>
    <x v="3"/>
    <s v="Arjun"/>
    <n v="1"/>
    <n v="67992.89"/>
    <n v="67992.89"/>
    <n v="0"/>
    <n v="67992.89"/>
    <m/>
  </r>
  <r>
    <n v="1038"/>
    <s v="2024-02-03"/>
    <x v="7"/>
    <x v="0"/>
    <s v="Priya"/>
    <n v="14"/>
    <n v="33125.97"/>
    <n v="463763.58"/>
    <n v="0"/>
    <n v="463763.58"/>
    <m/>
  </r>
  <r>
    <n v="1039"/>
    <s v="2024-02-20"/>
    <x v="4"/>
    <x v="1"/>
    <s v="Priya"/>
    <n v="15"/>
    <n v="3648.47"/>
    <n v="54727.049999999996"/>
    <n v="0.15"/>
    <n v="46517.992499999993"/>
    <m/>
  </r>
  <r>
    <n v="1040"/>
    <s v="2024-02-11"/>
    <x v="1"/>
    <x v="0"/>
    <s v="Vikram"/>
    <n v="11"/>
    <n v="67984.67"/>
    <n v="747831.37"/>
    <n v="0.05"/>
    <n v="710439.80149999994"/>
    <m/>
  </r>
  <r>
    <n v="1041"/>
    <s v="2024-02-22"/>
    <x v="3"/>
    <x v="2"/>
    <s v="Meena"/>
    <n v="4"/>
    <n v="7731.23"/>
    <n v="30924.92"/>
    <n v="0.1"/>
    <n v="27832.428"/>
    <m/>
  </r>
  <r>
    <n v="1042"/>
    <s v="2024-02-01"/>
    <x v="3"/>
    <x v="1"/>
    <s v="Meena"/>
    <n v="15"/>
    <n v="8703.73"/>
    <n v="130555.95"/>
    <n v="0.1"/>
    <n v="117500.355"/>
    <m/>
  </r>
  <r>
    <n v="1043"/>
    <s v="2024-02-05"/>
    <x v="5"/>
    <x v="0"/>
    <s v="Priya"/>
    <n v="9"/>
    <n v="20972.35"/>
    <n v="188751.15"/>
    <n v="0.15"/>
    <n v="160438.47749999998"/>
    <m/>
  </r>
  <r>
    <n v="1044"/>
    <s v="2024-02-27"/>
    <x v="2"/>
    <x v="0"/>
    <s v="Kavitha"/>
    <n v="6"/>
    <n v="43706.11"/>
    <n v="262236.66000000003"/>
    <n v="0.1"/>
    <n v="236012.99400000004"/>
    <m/>
  </r>
  <r>
    <n v="1045"/>
    <s v="2024-02-09"/>
    <x v="3"/>
    <x v="0"/>
    <s v="Suresh"/>
    <n v="15"/>
    <n v="8526.7800000000007"/>
    <n v="127901.70000000001"/>
    <n v="0"/>
    <n v="127901.70000000001"/>
    <m/>
  </r>
  <r>
    <n v="1046"/>
    <s v="2024-02-23"/>
    <x v="0"/>
    <x v="0"/>
    <s v="Ravi"/>
    <n v="5"/>
    <n v="24260.98"/>
    <n v="121304.9"/>
    <n v="0.15"/>
    <n v="103109.16499999999"/>
    <m/>
  </r>
  <r>
    <n v="1047"/>
    <s v="2024-02-03"/>
    <x v="2"/>
    <x v="2"/>
    <s v="Suresh"/>
    <n v="9"/>
    <n v="45995.98"/>
    <n v="413963.82"/>
    <n v="0"/>
    <n v="413963.82"/>
    <m/>
  </r>
  <r>
    <n v="1048"/>
    <s v="2024-02-21"/>
    <x v="6"/>
    <x v="3"/>
    <s v="Arjun"/>
    <n v="1"/>
    <n v="4425.25"/>
    <n v="4425.25"/>
    <n v="0.2"/>
    <n v="3540.2000000000003"/>
    <m/>
  </r>
  <r>
    <n v="1049"/>
    <s v="2024-02-01"/>
    <x v="3"/>
    <x v="2"/>
    <s v="Anitha"/>
    <n v="9"/>
    <n v="8611.33"/>
    <n v="77501.97"/>
    <n v="0.2"/>
    <n v="62001.576000000001"/>
    <m/>
  </r>
  <r>
    <n v="1050"/>
    <s v="2024-02-19"/>
    <x v="0"/>
    <x v="0"/>
    <s v="Ravi"/>
    <n v="9"/>
    <n v="22725.18"/>
    <n v="204526.62"/>
    <n v="0.05"/>
    <n v="194300.28899999999"/>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B919A6-CE7A-4FA8-A762-3B62AC98807B}" name="PivotTable1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
  <location ref="A3:B10" firstHeaderRow="1" firstDataRow="1" firstDataCol="1"/>
  <pivotFields count="11">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8">
        <item x="2"/>
        <item x="4"/>
        <item x="1"/>
        <item x="0"/>
        <item x="5"/>
        <item x="3"/>
        <item x="6"/>
        <item x="7"/>
      </items>
      <extLst>
        <ext xmlns:x14="http://schemas.microsoft.com/office/spreadsheetml/2009/9/main" uri="{2946ED86-A175-432a-8AC1-64E0C546D7DE}">
          <x14:pivotField fillDownLabels="1"/>
        </ext>
      </extLst>
    </pivotField>
    <pivotField compact="0" outline="0" showAll="0" defaultSubtotal="0">
      <items count="4">
        <item h="1" x="3"/>
        <item h="1" x="0"/>
        <item h="1"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2"/>
  </rowFields>
  <rowItems count="7">
    <i>
      <x/>
    </i>
    <i>
      <x v="1"/>
    </i>
    <i>
      <x v="3"/>
    </i>
    <i>
      <x v="4"/>
    </i>
    <i>
      <x v="5"/>
    </i>
    <i>
      <x v="6"/>
    </i>
    <i>
      <x v="7"/>
    </i>
  </rowItems>
  <colItems count="1">
    <i/>
  </colItems>
  <dataFields count="1">
    <dataField name="Sum of Net Revenue" fld="9"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6"/>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6"/>
          </reference>
        </references>
      </pivotArea>
    </chartFormat>
    <chartFormat chart="1" format="2">
      <pivotArea type="data" outline="0" fieldPosition="0">
        <references count="2">
          <reference field="4294967294" count="1" selected="0">
            <x v="0"/>
          </reference>
          <reference field="2" count="1" selected="0">
            <x v="7"/>
          </reference>
        </references>
      </pivotArea>
    </chartFormat>
    <chartFormat chart="1" format="3">
      <pivotArea type="data" outline="0" fieldPosition="0">
        <references count="2">
          <reference field="4294967294" count="1" selected="0">
            <x v="0"/>
          </reference>
          <reference field="2" count="1" selected="0">
            <x v="5"/>
          </reference>
        </references>
      </pivotArea>
    </chartFormat>
    <chartFormat chart="1" format="4">
      <pivotArea type="data" outline="0" fieldPosition="0">
        <references count="2">
          <reference field="4294967294" count="1" selected="0">
            <x v="0"/>
          </reference>
          <reference field="2" count="1" selected="0">
            <x v="4"/>
          </reference>
        </references>
      </pivotArea>
    </chartFormat>
    <chartFormat chart="1" format="5">
      <pivotArea type="data" outline="0" fieldPosition="0">
        <references count="2">
          <reference field="4294967294" count="1" selected="0">
            <x v="0"/>
          </reference>
          <reference field="2" count="1" selected="0">
            <x v="3"/>
          </reference>
        </references>
      </pivotArea>
    </chartFormat>
    <chartFormat chart="1" format="6">
      <pivotArea type="data" outline="0" fieldPosition="0">
        <references count="2">
          <reference field="4294967294" count="1" selected="0">
            <x v="0"/>
          </reference>
          <reference field="2" count="1" selected="0">
            <x v="1"/>
          </reference>
        </references>
      </pivotArea>
    </chartFormat>
    <chartFormat chart="1" format="7">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1FCA23-0CC0-4172-8087-CCF41D5CF4D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2" firstHeaderRow="1" firstDataRow="1" firstDataCol="1"/>
  <pivotFields count="11">
    <pivotField showAll="0"/>
    <pivotField showAll="0">
      <items count="34">
        <item x="12"/>
        <item x="5"/>
        <item x="10"/>
        <item x="13"/>
        <item x="9"/>
        <item x="6"/>
        <item x="1"/>
        <item x="15"/>
        <item x="4"/>
        <item x="8"/>
        <item x="0"/>
        <item x="7"/>
        <item x="11"/>
        <item x="3"/>
        <item x="2"/>
        <item x="14"/>
        <item x="27"/>
        <item x="17"/>
        <item x="23"/>
        <item x="28"/>
        <item x="19"/>
        <item x="30"/>
        <item x="20"/>
        <item x="25"/>
        <item x="16"/>
        <item x="18"/>
        <item x="21"/>
        <item x="24"/>
        <item x="32"/>
        <item x="26"/>
        <item x="31"/>
        <item x="29"/>
        <item x="22"/>
        <item t="default"/>
      </items>
    </pivotField>
    <pivotField axis="axisRow" showAll="0">
      <items count="9">
        <item x="2"/>
        <item x="4"/>
        <item x="1"/>
        <item x="0"/>
        <item x="5"/>
        <item x="3"/>
        <item x="6"/>
        <item x="7"/>
        <item t="default"/>
      </items>
    </pivotField>
    <pivotField axis="axisRow" showAll="0">
      <items count="5">
        <item h="1" x="3"/>
        <item h="1" x="0"/>
        <item h="1" x="2"/>
        <item x="1"/>
        <item t="default"/>
      </items>
    </pivotField>
    <pivotField showAll="0"/>
    <pivotField numFmtId="3" showAll="0"/>
    <pivotField numFmtId="4" showAll="0"/>
    <pivotField dataField="1" numFmtId="4" showAll="0"/>
    <pivotField numFmtId="164" showAll="0"/>
    <pivotField showAll="0"/>
    <pivotField showAll="0"/>
  </pivotFields>
  <rowFields count="2">
    <field x="3"/>
    <field x="2"/>
  </rowFields>
  <rowItems count="9">
    <i>
      <x v="3"/>
    </i>
    <i r="1">
      <x/>
    </i>
    <i r="1">
      <x v="1"/>
    </i>
    <i r="1">
      <x v="3"/>
    </i>
    <i r="1">
      <x v="4"/>
    </i>
    <i r="1">
      <x v="5"/>
    </i>
    <i r="1">
      <x v="6"/>
    </i>
    <i r="1">
      <x v="7"/>
    </i>
    <i t="grand">
      <x/>
    </i>
  </rowItems>
  <colItems count="1">
    <i/>
  </colItems>
  <dataFields count="1">
    <dataField name="Sum of Revenue(₹)" fld="7" baseField="0" baseItem="0" numFmtId="4"/>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147CB88-AA50-440B-A959-3E59076D1064}" sourceName="Region">
  <pivotTables>
    <pivotTable tabId="2" name="PivotTable1"/>
  </pivotTables>
  <data>
    <tabular pivotCacheId="420950032">
      <items count="4">
        <i x="3"/>
        <i x="0"/>
        <i x="2"/>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C741C9BC-CBFA-40C4-8EC1-DC8D160EA95D}" sourceName="Region">
  <pivotTables>
    <pivotTable tabId="4" name="PivotTable15"/>
  </pivotTables>
  <data>
    <tabular pivotCacheId="306945857">
      <items count="4">
        <i x="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B9C08542-5F15-4316-84C4-B07D96FC3330}" cache="Slicer_Region1"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DA239F3-69DA-4EB9-86B6-C603F3C5E741}" cache="Slicer_Region" caption="Region"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54E8E100-53D3-4195-8769-F42BBFAAA855}" cache="Slicer_Region1"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FE5630F-BF6E-474F-8F2E-D9DE4F1F8824}" name="Table1" displayName="Table1" ref="A1:J51" totalsRowShown="0" headerRowDxfId="9">
  <autoFilter ref="A1:J51" xr:uid="{FFE5630F-BF6E-474F-8F2E-D9DE4F1F8824}"/>
  <tableColumns count="10">
    <tableColumn id="1" xr3:uid="{390D635B-CA7D-421C-8626-AD1E48DA6450}" name="Order ID" dataDxfId="8" dataCellStyle="Normal 2"/>
    <tableColumn id="2" xr3:uid="{57D6D16B-FF12-4445-A07D-7DD5800B92F3}" name="Date " dataDxfId="7" dataCellStyle="Normal 2"/>
    <tableColumn id="3" xr3:uid="{AC71CADC-B12F-43BA-B984-E848C34E850E}" name="Product" dataDxfId="6" dataCellStyle="Normal 2"/>
    <tableColumn id="4" xr3:uid="{BF46F038-B0C0-4EB1-A544-DA774F1FD0DA}" name="Region" dataDxfId="5" dataCellStyle="Normal 2"/>
    <tableColumn id="5" xr3:uid="{4C8C9B52-3288-4F76-8B17-9AB851C4F868}" name="Salesperson" dataDxfId="4" dataCellStyle="Normal 2"/>
    <tableColumn id="6" xr3:uid="{761772D1-9B3E-41BA-BC03-B06910B94197}" name="Units" dataDxfId="3" dataCellStyle="Normal 2"/>
    <tableColumn id="7" xr3:uid="{57C503EC-4F3F-483D-B2C2-4C5DC35C4DD2}" name="Price(₹)" dataDxfId="2" dataCellStyle="Normal 2"/>
    <tableColumn id="8" xr3:uid="{CE56541C-A174-4CD8-9DA7-583CD15EFA94}" name="Revenue(₹)" dataDxfId="1" dataCellStyle="Normal 2">
      <calculatedColumnFormula>F2*G2</calculatedColumnFormula>
    </tableColumn>
    <tableColumn id="9" xr3:uid="{AA8AB559-4D88-4E89-801E-80FC0E10F509}" name="Discount(%) " dataDxfId="0"/>
    <tableColumn id="10" xr3:uid="{75950157-B71A-456E-83D5-AAB312C741C3}" name="Net Revenue">
      <calculatedColumnFormula>H2*(1-I2)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 dockstate="right" visibility="0" width="438" row="6">
    <wetp:webextensionref xmlns:r="http://schemas.openxmlformats.org/officeDocument/2006/relationships" r:id="rId2"/>
  </wetp:taskpane>
</wetp:taskpanes>
</file>

<file path=xl/webextensions/webextension1.xml><?xml version="1.0" encoding="utf-8"?>
<we:webextension xmlns:we="http://schemas.microsoft.com/office/webextensions/webextension/2010/11" id="{C8EE0604-9750-4267-8560-869ADD30A6C6}">
  <we:reference id="wa200005502" version="1.0.0.13" store="en-US" storeType="OMEX"/>
  <we:alternateReferences>
    <we:reference id="wa200005502" version="1.0.0.13" store="wa200005502" storeType="OMEX"/>
  </we:alternateReferences>
  <we:properties>
    <we:property name="docId" value="&quot;q9WN6UQ7WhpCH2eSRUy4h&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2.xml><?xml version="1.0" encoding="utf-8"?>
<we:webextension xmlns:we="http://schemas.microsoft.com/office/webextensions/webextension/2010/11" id="{8A770647-0F8F-4790-B9ED-7A558222D104}">
  <we:reference id="wa200005171" version="1.0.0.0" store="en-US" storeType="OMEX"/>
  <we:alternateReferences>
    <we:reference id="wa200005171" version="1.0.0.0" store="wa2000051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_xldudf_GPT_GPTINTERACT</we:customFunctionIds>
        <we:customFunctionIds>_xldudf_GPT_GPTPROMPT</we:customFunctionIds>
        <we:customFunctionIds>_xldudf_GPT_GPTPREDICT</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C97C3-216A-4BE1-82FF-40240E347D25}">
  <dimension ref="A1:L53"/>
  <sheetViews>
    <sheetView workbookViewId="0">
      <selection activeCell="F12" sqref="F12"/>
    </sheetView>
  </sheetViews>
  <sheetFormatPr defaultRowHeight="14.4" x14ac:dyDescent="0.3"/>
  <cols>
    <col min="1" max="1" width="12.88671875" customWidth="1"/>
    <col min="2" max="2" width="11.6640625" customWidth="1"/>
    <col min="3" max="3" width="13.44140625" customWidth="1"/>
    <col min="4" max="4" width="10.77734375" customWidth="1"/>
    <col min="5" max="5" width="16.6640625" customWidth="1"/>
    <col min="7" max="7" width="11.77734375" customWidth="1"/>
    <col min="8" max="8" width="16.21875" customWidth="1"/>
    <col min="9" max="9" width="17.33203125" customWidth="1"/>
    <col min="10" max="10" width="17.88671875" customWidth="1"/>
    <col min="11" max="11" width="10.88671875" customWidth="1"/>
    <col min="12" max="12" width="10.44140625" customWidth="1"/>
  </cols>
  <sheetData>
    <row r="1" spans="1:12" s="1" customFormat="1" ht="24.6" customHeight="1" x14ac:dyDescent="0.4">
      <c r="A1" s="16" t="s">
        <v>5</v>
      </c>
      <c r="B1" s="16" t="s">
        <v>4</v>
      </c>
      <c r="C1" s="16" t="s">
        <v>0</v>
      </c>
      <c r="D1" s="16" t="s">
        <v>1</v>
      </c>
      <c r="E1" s="16" t="s">
        <v>2</v>
      </c>
      <c r="F1" s="16" t="s">
        <v>3</v>
      </c>
      <c r="G1" s="16" t="s">
        <v>59</v>
      </c>
      <c r="H1" s="16" t="s">
        <v>60</v>
      </c>
      <c r="I1" s="16" t="s">
        <v>61</v>
      </c>
      <c r="J1" s="16" t="s">
        <v>63</v>
      </c>
      <c r="K1" s="23" t="s">
        <v>64</v>
      </c>
      <c r="L1" s="23"/>
    </row>
    <row r="2" spans="1:12" x14ac:dyDescent="0.3">
      <c r="A2" s="2">
        <v>1001</v>
      </c>
      <c r="B2" s="2" t="s">
        <v>6</v>
      </c>
      <c r="C2" s="2" t="s">
        <v>39</v>
      </c>
      <c r="D2" s="2" t="s">
        <v>47</v>
      </c>
      <c r="E2" s="2" t="s">
        <v>51</v>
      </c>
      <c r="F2" s="4">
        <v>4</v>
      </c>
      <c r="G2" s="6">
        <v>23895.07</v>
      </c>
      <c r="H2" s="7">
        <f>F2*G2</f>
        <v>95580.28</v>
      </c>
      <c r="I2" s="11">
        <v>0</v>
      </c>
      <c r="J2">
        <f>H2*(1-I2)</f>
        <v>95580.28</v>
      </c>
    </row>
    <row r="3" spans="1:12" x14ac:dyDescent="0.3">
      <c r="A3" s="3">
        <v>1002</v>
      </c>
      <c r="B3" s="3" t="s">
        <v>7</v>
      </c>
      <c r="C3" s="3" t="s">
        <v>39</v>
      </c>
      <c r="D3" s="3" t="s">
        <v>48</v>
      </c>
      <c r="E3" s="3" t="s">
        <v>52</v>
      </c>
      <c r="F3" s="5">
        <v>1</v>
      </c>
      <c r="G3" s="8">
        <v>23085.599999999999</v>
      </c>
      <c r="H3" s="7">
        <f t="shared" ref="H3:H51" si="0">F3*G3</f>
        <v>23085.599999999999</v>
      </c>
      <c r="I3" s="12">
        <v>0</v>
      </c>
      <c r="J3">
        <f t="shared" ref="J3:J51" si="1">H3*(1-I3)</f>
        <v>23085.599999999999</v>
      </c>
      <c r="K3" t="s">
        <v>39</v>
      </c>
      <c r="L3">
        <f>COUNTIF(C2:C51,K3)</f>
        <v>7</v>
      </c>
    </row>
    <row r="4" spans="1:12" x14ac:dyDescent="0.3">
      <c r="A4" s="2">
        <v>1003</v>
      </c>
      <c r="B4" s="2" t="s">
        <v>8</v>
      </c>
      <c r="C4" s="2" t="s">
        <v>40</v>
      </c>
      <c r="D4" s="2" t="s">
        <v>49</v>
      </c>
      <c r="E4" s="2" t="s">
        <v>53</v>
      </c>
      <c r="F4" s="4">
        <v>4</v>
      </c>
      <c r="G4" s="6">
        <v>65799.649999999994</v>
      </c>
      <c r="H4" s="7">
        <f t="shared" si="0"/>
        <v>263198.59999999998</v>
      </c>
      <c r="I4" s="11">
        <v>0.1</v>
      </c>
      <c r="J4">
        <f t="shared" si="1"/>
        <v>236878.74</v>
      </c>
    </row>
    <row r="5" spans="1:12" x14ac:dyDescent="0.3">
      <c r="A5" s="3">
        <v>1004</v>
      </c>
      <c r="B5" s="3" t="s">
        <v>9</v>
      </c>
      <c r="C5" s="3" t="s">
        <v>40</v>
      </c>
      <c r="D5" s="3" t="s">
        <v>49</v>
      </c>
      <c r="E5" s="3" t="s">
        <v>53</v>
      </c>
      <c r="F5" s="5">
        <v>6</v>
      </c>
      <c r="G5" s="8">
        <v>63015.41</v>
      </c>
      <c r="H5" s="7">
        <f t="shared" si="0"/>
        <v>378092.46</v>
      </c>
      <c r="I5" s="12">
        <v>0.15</v>
      </c>
      <c r="J5">
        <f t="shared" si="1"/>
        <v>321378.59100000001</v>
      </c>
    </row>
    <row r="6" spans="1:12" x14ac:dyDescent="0.3">
      <c r="A6" s="2">
        <v>1005</v>
      </c>
      <c r="B6" s="2" t="s">
        <v>10</v>
      </c>
      <c r="C6" s="2" t="s">
        <v>41</v>
      </c>
      <c r="D6" s="2" t="s">
        <v>47</v>
      </c>
      <c r="E6" s="2" t="s">
        <v>54</v>
      </c>
      <c r="F6" s="4">
        <v>7</v>
      </c>
      <c r="G6" s="6">
        <v>41588.06</v>
      </c>
      <c r="H6" s="7">
        <f t="shared" si="0"/>
        <v>291116.42</v>
      </c>
      <c r="I6" s="11">
        <v>0.2</v>
      </c>
      <c r="J6">
        <f t="shared" si="1"/>
        <v>232893.136</v>
      </c>
    </row>
    <row r="7" spans="1:12" x14ac:dyDescent="0.3">
      <c r="A7" s="3">
        <v>1006</v>
      </c>
      <c r="B7" s="3" t="s">
        <v>11</v>
      </c>
      <c r="C7" s="3" t="s">
        <v>42</v>
      </c>
      <c r="D7" s="3" t="s">
        <v>47</v>
      </c>
      <c r="E7" s="3" t="s">
        <v>55</v>
      </c>
      <c r="F7" s="5">
        <v>9</v>
      </c>
      <c r="G7" s="8">
        <v>7449.65</v>
      </c>
      <c r="H7" s="7">
        <f t="shared" si="0"/>
        <v>67046.849999999991</v>
      </c>
      <c r="I7" s="12">
        <v>0.15</v>
      </c>
      <c r="J7">
        <f t="shared" si="1"/>
        <v>56989.822499999987</v>
      </c>
    </row>
    <row r="8" spans="1:12" x14ac:dyDescent="0.3">
      <c r="A8" s="2">
        <v>1007</v>
      </c>
      <c r="B8" s="2" t="s">
        <v>9</v>
      </c>
      <c r="C8" s="2" t="s">
        <v>42</v>
      </c>
      <c r="D8" s="2" t="s">
        <v>50</v>
      </c>
      <c r="E8" s="2" t="s">
        <v>56</v>
      </c>
      <c r="F8" s="4">
        <v>12</v>
      </c>
      <c r="G8" s="6">
        <v>7339.11</v>
      </c>
      <c r="H8" s="7">
        <f t="shared" si="0"/>
        <v>88069.319999999992</v>
      </c>
      <c r="I8" s="11">
        <v>0.05</v>
      </c>
      <c r="J8">
        <f t="shared" si="1"/>
        <v>83665.853999999992</v>
      </c>
    </row>
    <row r="9" spans="1:12" x14ac:dyDescent="0.3">
      <c r="A9" s="3">
        <v>1008</v>
      </c>
      <c r="B9" s="3" t="s">
        <v>12</v>
      </c>
      <c r="C9" s="3" t="s">
        <v>42</v>
      </c>
      <c r="D9" s="3" t="s">
        <v>47</v>
      </c>
      <c r="E9" s="3" t="s">
        <v>56</v>
      </c>
      <c r="F9" s="5">
        <v>14</v>
      </c>
      <c r="G9" s="8">
        <v>7402</v>
      </c>
      <c r="H9" s="7">
        <f t="shared" si="0"/>
        <v>103628</v>
      </c>
      <c r="I9" s="12">
        <v>0.05</v>
      </c>
      <c r="J9">
        <f t="shared" si="1"/>
        <v>98446.599999999991</v>
      </c>
      <c r="K9" t="str" cm="1">
        <f t="array" ref="K9:K16">_xlfn.UNIQUE(C2:C51)</f>
        <v>Mobile</v>
      </c>
    </row>
    <row r="10" spans="1:12" x14ac:dyDescent="0.3">
      <c r="A10" s="2">
        <v>1009</v>
      </c>
      <c r="B10" s="2" t="s">
        <v>13</v>
      </c>
      <c r="C10" s="2" t="s">
        <v>41</v>
      </c>
      <c r="D10" s="2" t="s">
        <v>49</v>
      </c>
      <c r="E10" s="2" t="s">
        <v>57</v>
      </c>
      <c r="F10" s="4">
        <v>6</v>
      </c>
      <c r="G10" s="6">
        <v>42856.95</v>
      </c>
      <c r="H10" s="7">
        <f t="shared" si="0"/>
        <v>257141.69999999998</v>
      </c>
      <c r="I10" s="11">
        <v>0.1</v>
      </c>
      <c r="J10">
        <f t="shared" si="1"/>
        <v>231427.53</v>
      </c>
      <c r="K10" t="str">
        <v>Laptop</v>
      </c>
    </row>
    <row r="11" spans="1:12" x14ac:dyDescent="0.3">
      <c r="A11" s="3">
        <v>1010</v>
      </c>
      <c r="B11" s="3" t="s">
        <v>14</v>
      </c>
      <c r="C11" s="3" t="s">
        <v>39</v>
      </c>
      <c r="D11" s="3" t="s">
        <v>49</v>
      </c>
      <c r="E11" s="3" t="s">
        <v>56</v>
      </c>
      <c r="F11" s="5">
        <v>3</v>
      </c>
      <c r="G11" s="8">
        <v>25389.13</v>
      </c>
      <c r="H11" s="7">
        <f t="shared" si="0"/>
        <v>76167.39</v>
      </c>
      <c r="I11" s="12">
        <v>0.2</v>
      </c>
      <c r="J11">
        <f t="shared" si="1"/>
        <v>60933.912000000004</v>
      </c>
      <c r="K11" t="str">
        <v>Camera</v>
      </c>
    </row>
    <row r="12" spans="1:12" x14ac:dyDescent="0.3">
      <c r="A12" s="2">
        <v>1011</v>
      </c>
      <c r="B12" s="2" t="s">
        <v>15</v>
      </c>
      <c r="C12" s="2" t="s">
        <v>43</v>
      </c>
      <c r="D12" s="2" t="s">
        <v>50</v>
      </c>
      <c r="E12" s="2" t="s">
        <v>52</v>
      </c>
      <c r="F12" s="4">
        <v>4</v>
      </c>
      <c r="G12" s="6">
        <v>3869.08</v>
      </c>
      <c r="H12" s="7">
        <f t="shared" si="0"/>
        <v>15476.32</v>
      </c>
      <c r="I12" s="11">
        <v>0.1</v>
      </c>
      <c r="J12">
        <f t="shared" si="1"/>
        <v>13928.688</v>
      </c>
      <c r="K12" t="str">
        <v>Smartwatch</v>
      </c>
    </row>
    <row r="13" spans="1:12" x14ac:dyDescent="0.3">
      <c r="A13" s="3">
        <v>1012</v>
      </c>
      <c r="B13" s="3" t="s">
        <v>16</v>
      </c>
      <c r="C13" s="3" t="s">
        <v>42</v>
      </c>
      <c r="D13" s="3" t="s">
        <v>47</v>
      </c>
      <c r="E13" s="3" t="s">
        <v>56</v>
      </c>
      <c r="F13" s="5">
        <v>15</v>
      </c>
      <c r="G13" s="8">
        <v>9085.82</v>
      </c>
      <c r="H13" s="7">
        <f t="shared" si="0"/>
        <v>136287.29999999999</v>
      </c>
      <c r="I13" s="12">
        <v>0.05</v>
      </c>
      <c r="J13">
        <f t="shared" si="1"/>
        <v>129472.93499999998</v>
      </c>
      <c r="K13" t="str">
        <v>Headphones</v>
      </c>
    </row>
    <row r="14" spans="1:12" x14ac:dyDescent="0.3">
      <c r="A14" s="2">
        <v>1013</v>
      </c>
      <c r="B14" s="2" t="s">
        <v>17</v>
      </c>
      <c r="C14" s="2" t="s">
        <v>44</v>
      </c>
      <c r="D14" s="2" t="s">
        <v>48</v>
      </c>
      <c r="E14" s="2" t="s">
        <v>55</v>
      </c>
      <c r="F14" s="4">
        <v>3</v>
      </c>
      <c r="G14" s="6">
        <v>21256.84</v>
      </c>
      <c r="H14" s="7">
        <f t="shared" si="0"/>
        <v>63770.520000000004</v>
      </c>
      <c r="I14" s="11">
        <v>0.05</v>
      </c>
      <c r="J14">
        <f t="shared" si="1"/>
        <v>60581.993999999999</v>
      </c>
      <c r="K14" t="str">
        <v>Monitor</v>
      </c>
    </row>
    <row r="15" spans="1:12" x14ac:dyDescent="0.3">
      <c r="A15" s="3">
        <v>1014</v>
      </c>
      <c r="B15" s="3" t="s">
        <v>7</v>
      </c>
      <c r="C15" s="3" t="s">
        <v>42</v>
      </c>
      <c r="D15" s="3" t="s">
        <v>48</v>
      </c>
      <c r="E15" s="3" t="s">
        <v>53</v>
      </c>
      <c r="F15" s="5">
        <v>6</v>
      </c>
      <c r="G15" s="8">
        <v>7638.64</v>
      </c>
      <c r="H15" s="7">
        <f t="shared" si="0"/>
        <v>45831.840000000004</v>
      </c>
      <c r="I15" s="12">
        <v>0.15</v>
      </c>
      <c r="J15">
        <f t="shared" si="1"/>
        <v>38957.064000000006</v>
      </c>
      <c r="K15" t="str">
        <v>Speaker</v>
      </c>
    </row>
    <row r="16" spans="1:12" x14ac:dyDescent="0.3">
      <c r="A16" s="2">
        <v>1015</v>
      </c>
      <c r="B16" s="2" t="s">
        <v>8</v>
      </c>
      <c r="C16" s="2" t="s">
        <v>44</v>
      </c>
      <c r="D16" s="2" t="s">
        <v>47</v>
      </c>
      <c r="E16" s="2" t="s">
        <v>52</v>
      </c>
      <c r="F16" s="4">
        <v>14</v>
      </c>
      <c r="G16" s="6">
        <v>20403.07</v>
      </c>
      <c r="H16" s="7">
        <f t="shared" si="0"/>
        <v>285642.98</v>
      </c>
      <c r="I16" s="11">
        <v>0.2</v>
      </c>
      <c r="J16">
        <f t="shared" si="1"/>
        <v>228514.38399999999</v>
      </c>
      <c r="K16" t="str">
        <v>Tablet</v>
      </c>
    </row>
    <row r="17" spans="1:10" x14ac:dyDescent="0.3">
      <c r="A17" s="3">
        <v>1016</v>
      </c>
      <c r="B17" s="3" t="s">
        <v>7</v>
      </c>
      <c r="C17" s="3" t="s">
        <v>45</v>
      </c>
      <c r="D17" s="3" t="s">
        <v>47</v>
      </c>
      <c r="E17" s="3" t="s">
        <v>53</v>
      </c>
      <c r="F17" s="5">
        <v>7</v>
      </c>
      <c r="G17" s="8">
        <v>4720.37</v>
      </c>
      <c r="H17" s="7">
        <f t="shared" si="0"/>
        <v>33042.589999999997</v>
      </c>
      <c r="I17" s="12">
        <v>0.15</v>
      </c>
      <c r="J17">
        <f t="shared" si="1"/>
        <v>28086.201499999996</v>
      </c>
    </row>
    <row r="18" spans="1:10" x14ac:dyDescent="0.3">
      <c r="A18" s="2">
        <v>1017</v>
      </c>
      <c r="B18" s="2" t="s">
        <v>9</v>
      </c>
      <c r="C18" s="2" t="s">
        <v>42</v>
      </c>
      <c r="D18" s="2" t="s">
        <v>47</v>
      </c>
      <c r="E18" s="2" t="s">
        <v>54</v>
      </c>
      <c r="F18" s="4">
        <v>11</v>
      </c>
      <c r="G18" s="6">
        <v>8969.58</v>
      </c>
      <c r="H18" s="7">
        <f t="shared" si="0"/>
        <v>98665.38</v>
      </c>
      <c r="I18" s="11">
        <v>0.15</v>
      </c>
      <c r="J18">
        <f t="shared" si="1"/>
        <v>83865.573000000004</v>
      </c>
    </row>
    <row r="19" spans="1:10" x14ac:dyDescent="0.3">
      <c r="A19" s="3">
        <v>1018</v>
      </c>
      <c r="B19" s="3" t="s">
        <v>17</v>
      </c>
      <c r="C19" s="3" t="s">
        <v>41</v>
      </c>
      <c r="D19" s="3" t="s">
        <v>47</v>
      </c>
      <c r="E19" s="3" t="s">
        <v>51</v>
      </c>
      <c r="F19" s="5">
        <v>7</v>
      </c>
      <c r="G19" s="8">
        <v>42279.27</v>
      </c>
      <c r="H19" s="7">
        <f t="shared" si="0"/>
        <v>295954.88999999996</v>
      </c>
      <c r="I19" s="12">
        <v>0.1</v>
      </c>
      <c r="J19">
        <f t="shared" si="1"/>
        <v>266359.40099999995</v>
      </c>
    </row>
    <row r="20" spans="1:10" x14ac:dyDescent="0.3">
      <c r="A20" s="2">
        <v>1019</v>
      </c>
      <c r="B20" s="2" t="s">
        <v>10</v>
      </c>
      <c r="C20" s="2" t="s">
        <v>42</v>
      </c>
      <c r="D20" s="2" t="s">
        <v>49</v>
      </c>
      <c r="E20" s="2" t="s">
        <v>54</v>
      </c>
      <c r="F20" s="4">
        <v>14</v>
      </c>
      <c r="G20" s="6">
        <v>8450.6</v>
      </c>
      <c r="H20" s="7">
        <f t="shared" si="0"/>
        <v>118308.40000000001</v>
      </c>
      <c r="I20" s="11">
        <v>0.15</v>
      </c>
      <c r="J20">
        <f t="shared" si="1"/>
        <v>100562.14</v>
      </c>
    </row>
    <row r="21" spans="1:10" x14ac:dyDescent="0.3">
      <c r="A21" s="3">
        <v>1020</v>
      </c>
      <c r="B21" s="3" t="s">
        <v>18</v>
      </c>
      <c r="C21" s="3" t="s">
        <v>43</v>
      </c>
      <c r="D21" s="3" t="s">
        <v>49</v>
      </c>
      <c r="E21" s="3" t="s">
        <v>57</v>
      </c>
      <c r="F21" s="5">
        <v>13</v>
      </c>
      <c r="G21" s="8">
        <v>3291.36</v>
      </c>
      <c r="H21" s="7">
        <f t="shared" si="0"/>
        <v>42787.68</v>
      </c>
      <c r="I21" s="12">
        <v>0</v>
      </c>
      <c r="J21">
        <f t="shared" si="1"/>
        <v>42787.68</v>
      </c>
    </row>
    <row r="22" spans="1:10" x14ac:dyDescent="0.3">
      <c r="A22" s="2">
        <v>1021</v>
      </c>
      <c r="B22" s="2" t="s">
        <v>19</v>
      </c>
      <c r="C22" s="2" t="s">
        <v>41</v>
      </c>
      <c r="D22" s="2" t="s">
        <v>48</v>
      </c>
      <c r="E22" s="2" t="s">
        <v>52</v>
      </c>
      <c r="F22" s="4">
        <v>2</v>
      </c>
      <c r="G22" s="6">
        <v>50952.36</v>
      </c>
      <c r="H22" s="7">
        <f t="shared" si="0"/>
        <v>101904.72</v>
      </c>
      <c r="I22" s="11">
        <v>0</v>
      </c>
      <c r="J22">
        <f t="shared" si="1"/>
        <v>101904.72</v>
      </c>
    </row>
    <row r="23" spans="1:10" x14ac:dyDescent="0.3">
      <c r="A23" s="3">
        <v>1022</v>
      </c>
      <c r="B23" s="3" t="s">
        <v>9</v>
      </c>
      <c r="C23" s="3" t="s">
        <v>40</v>
      </c>
      <c r="D23" s="3" t="s">
        <v>49</v>
      </c>
      <c r="E23" s="3" t="s">
        <v>54</v>
      </c>
      <c r="F23" s="5">
        <v>2</v>
      </c>
      <c r="G23" s="8">
        <v>70393.5</v>
      </c>
      <c r="H23" s="7">
        <f t="shared" si="0"/>
        <v>140787</v>
      </c>
      <c r="I23" s="12">
        <v>0.15</v>
      </c>
      <c r="J23">
        <f t="shared" si="1"/>
        <v>119668.95</v>
      </c>
    </row>
    <row r="24" spans="1:10" x14ac:dyDescent="0.3">
      <c r="A24" s="2">
        <v>1023</v>
      </c>
      <c r="B24" s="2" t="s">
        <v>20</v>
      </c>
      <c r="C24" s="2" t="s">
        <v>46</v>
      </c>
      <c r="D24" s="2" t="s">
        <v>49</v>
      </c>
      <c r="E24" s="2" t="s">
        <v>55</v>
      </c>
      <c r="F24" s="4">
        <v>9</v>
      </c>
      <c r="G24" s="6">
        <v>32944.86</v>
      </c>
      <c r="H24" s="7">
        <f t="shared" si="0"/>
        <v>296503.74</v>
      </c>
      <c r="I24" s="11">
        <v>0.2</v>
      </c>
      <c r="J24">
        <f t="shared" si="1"/>
        <v>237202.992</v>
      </c>
    </row>
    <row r="25" spans="1:10" x14ac:dyDescent="0.3">
      <c r="A25" s="3">
        <v>1024</v>
      </c>
      <c r="B25" s="3" t="s">
        <v>12</v>
      </c>
      <c r="C25" s="3" t="s">
        <v>45</v>
      </c>
      <c r="D25" s="3" t="s">
        <v>49</v>
      </c>
      <c r="E25" s="3" t="s">
        <v>56</v>
      </c>
      <c r="F25" s="5">
        <v>12</v>
      </c>
      <c r="G25" s="8">
        <v>4400.68</v>
      </c>
      <c r="H25" s="7">
        <f t="shared" si="0"/>
        <v>52808.160000000003</v>
      </c>
      <c r="I25" s="12">
        <v>0.15</v>
      </c>
      <c r="J25">
        <f t="shared" si="1"/>
        <v>44886.936000000002</v>
      </c>
    </row>
    <row r="26" spans="1:10" x14ac:dyDescent="0.3">
      <c r="A26" s="2">
        <v>1025</v>
      </c>
      <c r="B26" s="2" t="s">
        <v>21</v>
      </c>
      <c r="C26" s="2" t="s">
        <v>44</v>
      </c>
      <c r="D26" s="2" t="s">
        <v>47</v>
      </c>
      <c r="E26" s="2" t="s">
        <v>56</v>
      </c>
      <c r="F26" s="4">
        <v>4</v>
      </c>
      <c r="G26" s="6">
        <v>20152.14</v>
      </c>
      <c r="H26" s="7">
        <f t="shared" si="0"/>
        <v>80608.56</v>
      </c>
      <c r="I26" s="11">
        <v>0.05</v>
      </c>
      <c r="J26">
        <f t="shared" si="1"/>
        <v>76578.131999999998</v>
      </c>
    </row>
    <row r="27" spans="1:10" x14ac:dyDescent="0.3">
      <c r="A27" s="3">
        <v>1026</v>
      </c>
      <c r="B27" s="3" t="s">
        <v>19</v>
      </c>
      <c r="C27" s="3" t="s">
        <v>43</v>
      </c>
      <c r="D27" s="3" t="s">
        <v>49</v>
      </c>
      <c r="E27" s="3" t="s">
        <v>52</v>
      </c>
      <c r="F27" s="5">
        <v>2</v>
      </c>
      <c r="G27" s="8">
        <v>3769.36</v>
      </c>
      <c r="H27" s="7">
        <f t="shared" si="0"/>
        <v>7538.72</v>
      </c>
      <c r="I27" s="12">
        <v>0.05</v>
      </c>
      <c r="J27">
        <f t="shared" si="1"/>
        <v>7161.7839999999997</v>
      </c>
    </row>
    <row r="28" spans="1:10" x14ac:dyDescent="0.3">
      <c r="A28" s="2">
        <v>1027</v>
      </c>
      <c r="B28" s="2" t="s">
        <v>6</v>
      </c>
      <c r="C28" s="2" t="s">
        <v>39</v>
      </c>
      <c r="D28" s="2" t="s">
        <v>47</v>
      </c>
      <c r="E28" s="2" t="s">
        <v>57</v>
      </c>
      <c r="F28" s="4">
        <v>2</v>
      </c>
      <c r="G28" s="6">
        <v>25713.48</v>
      </c>
      <c r="H28" s="7">
        <f t="shared" si="0"/>
        <v>51426.96</v>
      </c>
      <c r="I28" s="11">
        <v>0.2</v>
      </c>
      <c r="J28">
        <f t="shared" si="1"/>
        <v>41141.567999999999</v>
      </c>
    </row>
    <row r="29" spans="1:10" x14ac:dyDescent="0.3">
      <c r="A29" s="3">
        <v>1028</v>
      </c>
      <c r="B29" s="3" t="s">
        <v>21</v>
      </c>
      <c r="C29" s="3" t="s">
        <v>44</v>
      </c>
      <c r="D29" s="3" t="s">
        <v>49</v>
      </c>
      <c r="E29" s="3" t="s">
        <v>58</v>
      </c>
      <c r="F29" s="5">
        <v>12</v>
      </c>
      <c r="G29" s="8">
        <v>24945.33</v>
      </c>
      <c r="H29" s="7">
        <f t="shared" si="0"/>
        <v>299343.96000000002</v>
      </c>
      <c r="I29" s="12">
        <v>0.1</v>
      </c>
      <c r="J29">
        <f t="shared" si="1"/>
        <v>269409.56400000001</v>
      </c>
    </row>
    <row r="30" spans="1:10" x14ac:dyDescent="0.3">
      <c r="A30" s="2">
        <v>1029</v>
      </c>
      <c r="B30" s="2" t="s">
        <v>22</v>
      </c>
      <c r="C30" s="2" t="s">
        <v>43</v>
      </c>
      <c r="D30" s="2" t="s">
        <v>48</v>
      </c>
      <c r="E30" s="2" t="s">
        <v>53</v>
      </c>
      <c r="F30" s="4">
        <v>4</v>
      </c>
      <c r="G30" s="6">
        <v>3232.54</v>
      </c>
      <c r="H30" s="7">
        <f t="shared" si="0"/>
        <v>12930.16</v>
      </c>
      <c r="I30" s="11">
        <v>0</v>
      </c>
      <c r="J30">
        <f t="shared" si="1"/>
        <v>12930.16</v>
      </c>
    </row>
    <row r="31" spans="1:10" x14ac:dyDescent="0.3">
      <c r="A31" s="3">
        <v>1030</v>
      </c>
      <c r="B31" s="3" t="s">
        <v>23</v>
      </c>
      <c r="C31" s="3" t="s">
        <v>45</v>
      </c>
      <c r="D31" s="3" t="s">
        <v>48</v>
      </c>
      <c r="E31" s="3" t="s">
        <v>55</v>
      </c>
      <c r="F31" s="5">
        <v>14</v>
      </c>
      <c r="G31" s="8">
        <v>4870.21</v>
      </c>
      <c r="H31" s="7">
        <f t="shared" si="0"/>
        <v>68182.94</v>
      </c>
      <c r="I31" s="12">
        <v>0</v>
      </c>
      <c r="J31">
        <f t="shared" si="1"/>
        <v>68182.94</v>
      </c>
    </row>
    <row r="32" spans="1:10" x14ac:dyDescent="0.3">
      <c r="A32" s="2">
        <v>1031</v>
      </c>
      <c r="B32" s="2" t="s">
        <v>24</v>
      </c>
      <c r="C32" s="2" t="s">
        <v>45</v>
      </c>
      <c r="D32" s="2" t="s">
        <v>50</v>
      </c>
      <c r="E32" s="2" t="s">
        <v>54</v>
      </c>
      <c r="F32" s="4">
        <v>4</v>
      </c>
      <c r="G32" s="6">
        <v>4265.54</v>
      </c>
      <c r="H32" s="7">
        <f t="shared" si="0"/>
        <v>17062.16</v>
      </c>
      <c r="I32" s="11">
        <v>0.1</v>
      </c>
      <c r="J32">
        <f t="shared" si="1"/>
        <v>15355.944</v>
      </c>
    </row>
    <row r="33" spans="1:10" x14ac:dyDescent="0.3">
      <c r="A33" s="3">
        <v>1032</v>
      </c>
      <c r="B33" s="3" t="s">
        <v>24</v>
      </c>
      <c r="C33" s="3" t="s">
        <v>46</v>
      </c>
      <c r="D33" s="3" t="s">
        <v>48</v>
      </c>
      <c r="E33" s="3" t="s">
        <v>58</v>
      </c>
      <c r="F33" s="5">
        <v>5</v>
      </c>
      <c r="G33" s="8">
        <v>35548</v>
      </c>
      <c r="H33" s="7">
        <f t="shared" si="0"/>
        <v>177740</v>
      </c>
      <c r="I33" s="12">
        <v>0.15</v>
      </c>
      <c r="J33">
        <f t="shared" si="1"/>
        <v>151079</v>
      </c>
    </row>
    <row r="34" spans="1:10" x14ac:dyDescent="0.3">
      <c r="A34" s="2">
        <v>1033</v>
      </c>
      <c r="B34" s="2" t="s">
        <v>25</v>
      </c>
      <c r="C34" s="2" t="s">
        <v>39</v>
      </c>
      <c r="D34" s="2" t="s">
        <v>47</v>
      </c>
      <c r="E34" s="2" t="s">
        <v>52</v>
      </c>
      <c r="F34" s="4">
        <v>2</v>
      </c>
      <c r="G34" s="6">
        <v>28289.79</v>
      </c>
      <c r="H34" s="7">
        <f t="shared" si="0"/>
        <v>56579.58</v>
      </c>
      <c r="I34" s="11">
        <v>0.2</v>
      </c>
      <c r="J34">
        <f t="shared" si="1"/>
        <v>45263.664000000004</v>
      </c>
    </row>
    <row r="35" spans="1:10" x14ac:dyDescent="0.3">
      <c r="A35" s="3">
        <v>1034</v>
      </c>
      <c r="B35" s="3" t="s">
        <v>25</v>
      </c>
      <c r="C35" s="3" t="s">
        <v>45</v>
      </c>
      <c r="D35" s="3" t="s">
        <v>48</v>
      </c>
      <c r="E35" s="3" t="s">
        <v>55</v>
      </c>
      <c r="F35" s="5">
        <v>4</v>
      </c>
      <c r="G35" s="8">
        <v>5022.7299999999996</v>
      </c>
      <c r="H35" s="7">
        <f t="shared" si="0"/>
        <v>20090.919999999998</v>
      </c>
      <c r="I35" s="12">
        <v>0.15</v>
      </c>
      <c r="J35">
        <f t="shared" si="1"/>
        <v>17077.281999999999</v>
      </c>
    </row>
    <row r="36" spans="1:10" x14ac:dyDescent="0.3">
      <c r="A36" s="2">
        <v>1035</v>
      </c>
      <c r="B36" s="2" t="s">
        <v>26</v>
      </c>
      <c r="C36" s="2" t="s">
        <v>45</v>
      </c>
      <c r="D36" s="2" t="s">
        <v>47</v>
      </c>
      <c r="E36" s="2" t="s">
        <v>53</v>
      </c>
      <c r="F36" s="4">
        <v>5</v>
      </c>
      <c r="G36" s="6">
        <v>5092.33</v>
      </c>
      <c r="H36" s="7">
        <f t="shared" si="0"/>
        <v>25461.65</v>
      </c>
      <c r="I36" s="11">
        <v>0.1</v>
      </c>
      <c r="J36">
        <f t="shared" si="1"/>
        <v>22915.485000000001</v>
      </c>
    </row>
    <row r="37" spans="1:10" x14ac:dyDescent="0.3">
      <c r="A37" s="3">
        <v>1036</v>
      </c>
      <c r="B37" s="3" t="s">
        <v>27</v>
      </c>
      <c r="C37" s="3" t="s">
        <v>45</v>
      </c>
      <c r="D37" s="3" t="s">
        <v>48</v>
      </c>
      <c r="E37" s="3" t="s">
        <v>58</v>
      </c>
      <c r="F37" s="5">
        <v>4</v>
      </c>
      <c r="G37" s="8">
        <v>4383.8</v>
      </c>
      <c r="H37" s="7">
        <f t="shared" si="0"/>
        <v>17535.2</v>
      </c>
      <c r="I37" s="12">
        <v>0.2</v>
      </c>
      <c r="J37">
        <f t="shared" si="1"/>
        <v>14028.160000000002</v>
      </c>
    </row>
    <row r="38" spans="1:10" x14ac:dyDescent="0.3">
      <c r="A38" s="2">
        <v>1037</v>
      </c>
      <c r="B38" s="2" t="s">
        <v>28</v>
      </c>
      <c r="C38" s="2" t="s">
        <v>40</v>
      </c>
      <c r="D38" s="2" t="s">
        <v>50</v>
      </c>
      <c r="E38" s="2" t="s">
        <v>52</v>
      </c>
      <c r="F38" s="4">
        <v>1</v>
      </c>
      <c r="G38" s="6">
        <v>67992.89</v>
      </c>
      <c r="H38" s="7">
        <f t="shared" si="0"/>
        <v>67992.89</v>
      </c>
      <c r="I38" s="11">
        <v>0</v>
      </c>
      <c r="J38">
        <f t="shared" si="1"/>
        <v>67992.89</v>
      </c>
    </row>
    <row r="39" spans="1:10" x14ac:dyDescent="0.3">
      <c r="A39" s="3">
        <v>1038</v>
      </c>
      <c r="B39" s="3" t="s">
        <v>29</v>
      </c>
      <c r="C39" s="3" t="s">
        <v>46</v>
      </c>
      <c r="D39" s="3" t="s">
        <v>47</v>
      </c>
      <c r="E39" s="3" t="s">
        <v>54</v>
      </c>
      <c r="F39" s="5">
        <v>14</v>
      </c>
      <c r="G39" s="8">
        <v>33125.97</v>
      </c>
      <c r="H39" s="7">
        <f t="shared" si="0"/>
        <v>463763.58</v>
      </c>
      <c r="I39" s="12">
        <v>0</v>
      </c>
      <c r="J39">
        <f t="shared" si="1"/>
        <v>463763.58</v>
      </c>
    </row>
    <row r="40" spans="1:10" x14ac:dyDescent="0.3">
      <c r="A40" s="2">
        <v>1039</v>
      </c>
      <c r="B40" s="2" t="s">
        <v>30</v>
      </c>
      <c r="C40" s="2" t="s">
        <v>43</v>
      </c>
      <c r="D40" s="2" t="s">
        <v>48</v>
      </c>
      <c r="E40" s="2" t="s">
        <v>54</v>
      </c>
      <c r="F40" s="4">
        <v>15</v>
      </c>
      <c r="G40" s="6">
        <v>3648.47</v>
      </c>
      <c r="H40" s="7">
        <f t="shared" si="0"/>
        <v>54727.049999999996</v>
      </c>
      <c r="I40" s="11">
        <v>0.15</v>
      </c>
      <c r="J40">
        <f t="shared" si="1"/>
        <v>46517.992499999993</v>
      </c>
    </row>
    <row r="41" spans="1:10" x14ac:dyDescent="0.3">
      <c r="A41" s="3">
        <v>1040</v>
      </c>
      <c r="B41" s="3" t="s">
        <v>31</v>
      </c>
      <c r="C41" s="3" t="s">
        <v>40</v>
      </c>
      <c r="D41" s="3" t="s">
        <v>47</v>
      </c>
      <c r="E41" s="3" t="s">
        <v>53</v>
      </c>
      <c r="F41" s="5">
        <v>11</v>
      </c>
      <c r="G41" s="8">
        <v>67984.67</v>
      </c>
      <c r="H41" s="7">
        <f t="shared" si="0"/>
        <v>747831.37</v>
      </c>
      <c r="I41" s="12">
        <v>0.05</v>
      </c>
      <c r="J41">
        <f t="shared" si="1"/>
        <v>710439.80149999994</v>
      </c>
    </row>
    <row r="42" spans="1:10" x14ac:dyDescent="0.3">
      <c r="A42" s="2">
        <v>1041</v>
      </c>
      <c r="B42" s="2" t="s">
        <v>32</v>
      </c>
      <c r="C42" s="2" t="s">
        <v>42</v>
      </c>
      <c r="D42" s="2" t="s">
        <v>49</v>
      </c>
      <c r="E42" s="2" t="s">
        <v>57</v>
      </c>
      <c r="F42" s="4">
        <v>4</v>
      </c>
      <c r="G42" s="6">
        <v>7731.23</v>
      </c>
      <c r="H42" s="7">
        <f t="shared" si="0"/>
        <v>30924.92</v>
      </c>
      <c r="I42" s="11">
        <v>0.1</v>
      </c>
      <c r="J42">
        <f t="shared" si="1"/>
        <v>27832.428</v>
      </c>
    </row>
    <row r="43" spans="1:10" x14ac:dyDescent="0.3">
      <c r="A43" s="3">
        <v>1042</v>
      </c>
      <c r="B43" s="3" t="s">
        <v>33</v>
      </c>
      <c r="C43" s="3" t="s">
        <v>42</v>
      </c>
      <c r="D43" s="3" t="s">
        <v>48</v>
      </c>
      <c r="E43" s="3" t="s">
        <v>57</v>
      </c>
      <c r="F43" s="5">
        <v>15</v>
      </c>
      <c r="G43" s="8">
        <v>8703.73</v>
      </c>
      <c r="H43" s="7">
        <f t="shared" si="0"/>
        <v>130555.95</v>
      </c>
      <c r="I43" s="12">
        <v>0.1</v>
      </c>
      <c r="J43">
        <f t="shared" si="1"/>
        <v>117500.355</v>
      </c>
    </row>
    <row r="44" spans="1:10" x14ac:dyDescent="0.3">
      <c r="A44" s="2">
        <v>1043</v>
      </c>
      <c r="B44" s="2" t="s">
        <v>34</v>
      </c>
      <c r="C44" s="2" t="s">
        <v>44</v>
      </c>
      <c r="D44" s="2" t="s">
        <v>47</v>
      </c>
      <c r="E44" s="2" t="s">
        <v>54</v>
      </c>
      <c r="F44" s="4">
        <v>9</v>
      </c>
      <c r="G44" s="6">
        <v>20972.35</v>
      </c>
      <c r="H44" s="7">
        <f t="shared" si="0"/>
        <v>188751.15</v>
      </c>
      <c r="I44" s="11">
        <v>0.15</v>
      </c>
      <c r="J44">
        <f t="shared" si="1"/>
        <v>160438.47749999998</v>
      </c>
    </row>
    <row r="45" spans="1:10" x14ac:dyDescent="0.3">
      <c r="A45" s="3">
        <v>1044</v>
      </c>
      <c r="B45" s="3" t="s">
        <v>35</v>
      </c>
      <c r="C45" s="3" t="s">
        <v>41</v>
      </c>
      <c r="D45" s="3" t="s">
        <v>47</v>
      </c>
      <c r="E45" s="3" t="s">
        <v>56</v>
      </c>
      <c r="F45" s="5">
        <v>6</v>
      </c>
      <c r="G45" s="8">
        <v>43706.11</v>
      </c>
      <c r="H45" s="7">
        <f t="shared" si="0"/>
        <v>262236.66000000003</v>
      </c>
      <c r="I45" s="12">
        <v>0.1</v>
      </c>
      <c r="J45">
        <f t="shared" si="1"/>
        <v>236012.99400000004</v>
      </c>
    </row>
    <row r="46" spans="1:10" x14ac:dyDescent="0.3">
      <c r="A46" s="2">
        <v>1045</v>
      </c>
      <c r="B46" s="2" t="s">
        <v>36</v>
      </c>
      <c r="C46" s="2" t="s">
        <v>42</v>
      </c>
      <c r="D46" s="2" t="s">
        <v>47</v>
      </c>
      <c r="E46" s="2" t="s">
        <v>51</v>
      </c>
      <c r="F46" s="4">
        <v>15</v>
      </c>
      <c r="G46" s="6">
        <v>8526.7800000000007</v>
      </c>
      <c r="H46" s="7">
        <f t="shared" si="0"/>
        <v>127901.70000000001</v>
      </c>
      <c r="I46" s="11">
        <v>0</v>
      </c>
      <c r="J46">
        <f t="shared" si="1"/>
        <v>127901.70000000001</v>
      </c>
    </row>
    <row r="47" spans="1:10" x14ac:dyDescent="0.3">
      <c r="A47" s="3">
        <v>1046</v>
      </c>
      <c r="B47" s="3" t="s">
        <v>37</v>
      </c>
      <c r="C47" s="3" t="s">
        <v>39</v>
      </c>
      <c r="D47" s="3" t="s">
        <v>47</v>
      </c>
      <c r="E47" s="3" t="s">
        <v>58</v>
      </c>
      <c r="F47" s="5">
        <v>5</v>
      </c>
      <c r="G47" s="8">
        <v>24260.98</v>
      </c>
      <c r="H47" s="7">
        <f t="shared" si="0"/>
        <v>121304.9</v>
      </c>
      <c r="I47" s="12">
        <v>0.15</v>
      </c>
      <c r="J47">
        <f t="shared" si="1"/>
        <v>103109.16499999999</v>
      </c>
    </row>
    <row r="48" spans="1:10" x14ac:dyDescent="0.3">
      <c r="A48" s="2">
        <v>1047</v>
      </c>
      <c r="B48" s="2" t="s">
        <v>29</v>
      </c>
      <c r="C48" s="2" t="s">
        <v>41</v>
      </c>
      <c r="D48" s="2" t="s">
        <v>49</v>
      </c>
      <c r="E48" s="2" t="s">
        <v>51</v>
      </c>
      <c r="F48" s="4">
        <v>9</v>
      </c>
      <c r="G48" s="6">
        <v>45995.98</v>
      </c>
      <c r="H48" s="7">
        <f t="shared" si="0"/>
        <v>413963.82</v>
      </c>
      <c r="I48" s="11">
        <v>0</v>
      </c>
      <c r="J48">
        <f t="shared" si="1"/>
        <v>413963.82</v>
      </c>
    </row>
    <row r="49" spans="1:10" x14ac:dyDescent="0.3">
      <c r="A49" s="3">
        <v>1048</v>
      </c>
      <c r="B49" s="3" t="s">
        <v>38</v>
      </c>
      <c r="C49" s="3" t="s">
        <v>45</v>
      </c>
      <c r="D49" s="3" t="s">
        <v>50</v>
      </c>
      <c r="E49" s="3" t="s">
        <v>52</v>
      </c>
      <c r="F49" s="5">
        <v>1</v>
      </c>
      <c r="G49" s="8">
        <v>4425.25</v>
      </c>
      <c r="H49" s="7">
        <f t="shared" si="0"/>
        <v>4425.25</v>
      </c>
      <c r="I49" s="12">
        <v>0.2</v>
      </c>
      <c r="J49">
        <f t="shared" si="1"/>
        <v>3540.2000000000003</v>
      </c>
    </row>
    <row r="50" spans="1:10" x14ac:dyDescent="0.3">
      <c r="A50" s="2">
        <v>1049</v>
      </c>
      <c r="B50" s="2" t="s">
        <v>33</v>
      </c>
      <c r="C50" s="2" t="s">
        <v>42</v>
      </c>
      <c r="D50" s="2" t="s">
        <v>49</v>
      </c>
      <c r="E50" s="2" t="s">
        <v>55</v>
      </c>
      <c r="F50" s="4">
        <v>9</v>
      </c>
      <c r="G50" s="6">
        <v>8611.33</v>
      </c>
      <c r="H50" s="7">
        <f t="shared" si="0"/>
        <v>77501.97</v>
      </c>
      <c r="I50" s="11">
        <v>0.2</v>
      </c>
      <c r="J50">
        <f t="shared" si="1"/>
        <v>62001.576000000001</v>
      </c>
    </row>
    <row r="51" spans="1:10" x14ac:dyDescent="0.3">
      <c r="A51" s="3">
        <v>1050</v>
      </c>
      <c r="B51" s="3" t="s">
        <v>27</v>
      </c>
      <c r="C51" s="3" t="s">
        <v>39</v>
      </c>
      <c r="D51" s="3" t="s">
        <v>47</v>
      </c>
      <c r="E51" s="3" t="s">
        <v>58</v>
      </c>
      <c r="F51" s="5">
        <v>9</v>
      </c>
      <c r="G51" s="8">
        <v>22725.18</v>
      </c>
      <c r="H51" s="7">
        <f t="shared" si="0"/>
        <v>204526.62</v>
      </c>
      <c r="I51" s="12">
        <v>0.05</v>
      </c>
      <c r="J51">
        <f t="shared" si="1"/>
        <v>194300.28899999999</v>
      </c>
    </row>
    <row r="53" spans="1:10" ht="19.8" x14ac:dyDescent="0.4">
      <c r="G53" s="9" t="s">
        <v>62</v>
      </c>
      <c r="H53" s="10">
        <f>SUM(H2:H50)</f>
        <v>6897280.160000002</v>
      </c>
    </row>
  </sheetData>
  <sheetProtection sheet="1" objects="1" scenarios="1"/>
  <mergeCells count="1">
    <mergeCell ref="K1:L1"/>
  </mergeCells>
  <conditionalFormatting sqref="H1:H1048576">
    <cfRule type="dataBar" priority="1">
      <dataBar>
        <cfvo type="min"/>
        <cfvo type="max"/>
        <color rgb="FF008AEF"/>
      </dataBar>
      <extLst>
        <ext xmlns:x14="http://schemas.microsoft.com/office/spreadsheetml/2009/9/main" uri="{B025F937-C7B1-47D3-B67F-A62EFF666E3E}">
          <x14:id>{91C159BF-E5DB-4F2F-8216-8501A7FA778F}</x14:id>
        </ext>
      </extLst>
    </cfRule>
  </conditionalFormatting>
  <dataValidations count="1">
    <dataValidation type="list" allowBlank="1" showInputMessage="1" showErrorMessage="1" sqref="K3" xr:uid="{2DF9496E-9630-46E0-B065-40B7C6DE0E77}">
      <formula1>$K$9:$K$16</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91C159BF-E5DB-4F2F-8216-8501A7FA778F}">
            <x14:dataBar minLength="0" maxLength="100" gradient="0">
              <x14:cfvo type="autoMin"/>
              <x14:cfvo type="autoMax"/>
              <x14:negativeFillColor rgb="FFFF0000"/>
              <x14:axisColor rgb="FF000000"/>
            </x14:dataBar>
          </x14:cfRule>
          <xm:sqref>H1:H1048576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EB6FF-6973-4836-AB59-5CEE6AB9CF73}">
  <dimension ref="A3:B10"/>
  <sheetViews>
    <sheetView workbookViewId="0">
      <selection activeCell="O27" sqref="O27"/>
    </sheetView>
  </sheetViews>
  <sheetFormatPr defaultRowHeight="14.4" x14ac:dyDescent="0.3"/>
  <cols>
    <col min="1" max="1" width="11.109375" bestFit="1" customWidth="1"/>
    <col min="2" max="3" width="18.44140625" bestFit="1" customWidth="1"/>
  </cols>
  <sheetData>
    <row r="3" spans="1:2" x14ac:dyDescent="0.3">
      <c r="A3" s="13" t="s">
        <v>0</v>
      </c>
      <c r="B3" t="s">
        <v>68</v>
      </c>
    </row>
    <row r="4" spans="1:2" x14ac:dyDescent="0.3">
      <c r="A4" t="s">
        <v>41</v>
      </c>
      <c r="B4" s="24">
        <v>101904.72</v>
      </c>
    </row>
    <row r="5" spans="1:2" x14ac:dyDescent="0.3">
      <c r="A5" t="s">
        <v>43</v>
      </c>
      <c r="B5" s="24">
        <v>59448.152499999997</v>
      </c>
    </row>
    <row r="6" spans="1:2" x14ac:dyDescent="0.3">
      <c r="A6" t="s">
        <v>39</v>
      </c>
      <c r="B6" s="24">
        <v>23085.599999999999</v>
      </c>
    </row>
    <row r="7" spans="1:2" x14ac:dyDescent="0.3">
      <c r="A7" t="s">
        <v>44</v>
      </c>
      <c r="B7" s="24">
        <v>60581.993999999999</v>
      </c>
    </row>
    <row r="8" spans="1:2" x14ac:dyDescent="0.3">
      <c r="A8" t="s">
        <v>42</v>
      </c>
      <c r="B8" s="24">
        <v>156457.41899999999</v>
      </c>
    </row>
    <row r="9" spans="1:2" x14ac:dyDescent="0.3">
      <c r="A9" t="s">
        <v>45</v>
      </c>
      <c r="B9" s="24">
        <v>99288.382000000012</v>
      </c>
    </row>
    <row r="10" spans="1:2" x14ac:dyDescent="0.3">
      <c r="A10" t="s">
        <v>46</v>
      </c>
      <c r="B10" s="24">
        <v>151079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F0DED-3070-419A-8095-9D91ECEC3632}">
  <dimension ref="A3:B12"/>
  <sheetViews>
    <sheetView showGridLines="0" workbookViewId="0">
      <selection activeCell="F26" sqref="F26"/>
    </sheetView>
  </sheetViews>
  <sheetFormatPr defaultRowHeight="14.4" x14ac:dyDescent="0.3"/>
  <cols>
    <col min="1" max="1" width="15.109375" bestFit="1" customWidth="1"/>
    <col min="2" max="2" width="17.33203125" bestFit="1" customWidth="1"/>
  </cols>
  <sheetData>
    <row r="3" spans="1:2" x14ac:dyDescent="0.3">
      <c r="A3" s="13" t="s">
        <v>65</v>
      </c>
      <c r="B3" t="s">
        <v>67</v>
      </c>
    </row>
    <row r="4" spans="1:2" x14ac:dyDescent="0.3">
      <c r="A4" s="14" t="s">
        <v>48</v>
      </c>
      <c r="B4" s="10">
        <v>716354.89999999991</v>
      </c>
    </row>
    <row r="5" spans="1:2" x14ac:dyDescent="0.3">
      <c r="A5" s="15" t="s">
        <v>41</v>
      </c>
      <c r="B5" s="10">
        <v>101904.72</v>
      </c>
    </row>
    <row r="6" spans="1:2" x14ac:dyDescent="0.3">
      <c r="A6" s="15" t="s">
        <v>43</v>
      </c>
      <c r="B6" s="10">
        <v>67657.209999999992</v>
      </c>
    </row>
    <row r="7" spans="1:2" x14ac:dyDescent="0.3">
      <c r="A7" s="15" t="s">
        <v>39</v>
      </c>
      <c r="B7" s="10">
        <v>23085.599999999999</v>
      </c>
    </row>
    <row r="8" spans="1:2" x14ac:dyDescent="0.3">
      <c r="A8" s="15" t="s">
        <v>44</v>
      </c>
      <c r="B8" s="10">
        <v>63770.520000000004</v>
      </c>
    </row>
    <row r="9" spans="1:2" x14ac:dyDescent="0.3">
      <c r="A9" s="15" t="s">
        <v>42</v>
      </c>
      <c r="B9" s="10">
        <v>176387.79</v>
      </c>
    </row>
    <row r="10" spans="1:2" x14ac:dyDescent="0.3">
      <c r="A10" s="15" t="s">
        <v>45</v>
      </c>
      <c r="B10" s="10">
        <v>105809.06</v>
      </c>
    </row>
    <row r="11" spans="1:2" x14ac:dyDescent="0.3">
      <c r="A11" s="15" t="s">
        <v>46</v>
      </c>
      <c r="B11" s="10">
        <v>177740</v>
      </c>
    </row>
    <row r="12" spans="1:2" x14ac:dyDescent="0.3">
      <c r="A12" s="14" t="s">
        <v>66</v>
      </c>
      <c r="B12" s="10">
        <v>716354.89999999991</v>
      </c>
    </row>
  </sheetData>
  <pageMargins left="0.7" right="0.7" top="0.75" bottom="0.75" header="0.3" footer="0.3"/>
  <drawing r:id="rId2"/>
  <extLst>
    <ext xmlns:x14="http://schemas.microsoft.com/office/spreadsheetml/2009/9/main" uri="{05C60535-1F16-4fd2-B633-F4F36F0B64E0}">
      <x14:sparklineGroups xmlns:xm="http://schemas.microsoft.com/office/excel/2006/main">
        <x14:sparklineGroup displayEmptyCellsAs="gap" xr2:uid="{87BD5C59-3424-4CC7-A07F-6270E0E1BBEE}">
          <x14:colorSeries rgb="FF376092"/>
          <x14:colorNegative rgb="FFD00000"/>
          <x14:colorAxis rgb="FF000000"/>
          <x14:colorMarkers rgb="FFD00000"/>
          <x14:colorFirst rgb="FFD00000"/>
          <x14:colorLast rgb="FFD00000"/>
          <x14:colorHigh rgb="FFD00000"/>
          <x14:colorLow rgb="FFD00000"/>
          <x14:sparklines>
            <x14:sparkline>
              <xm:f>Sheet2!B6</xm:f>
              <xm:sqref>A7</xm:sqref>
            </x14:sparkline>
          </x14:sparklines>
        </x14:sparklineGroup>
      </x14:sparklineGroups>
    </ex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1E061-DAE7-433E-A7A6-9B3E7F481003}">
  <dimension ref="B1:O5"/>
  <sheetViews>
    <sheetView showGridLines="0" tabSelected="1" topLeftCell="A3" workbookViewId="0">
      <selection activeCell="Q6" sqref="Q6"/>
    </sheetView>
  </sheetViews>
  <sheetFormatPr defaultRowHeight="14.4" x14ac:dyDescent="0.3"/>
  <cols>
    <col min="2" max="2" width="10.109375" customWidth="1"/>
    <col min="3" max="3" width="10.33203125" customWidth="1"/>
    <col min="4" max="4" width="9.77734375" customWidth="1"/>
    <col min="5" max="5" width="8" customWidth="1"/>
    <col min="6" max="6" width="5.5546875" customWidth="1"/>
    <col min="7" max="7" width="4.6640625" customWidth="1"/>
    <col min="8" max="8" width="3.33203125" customWidth="1"/>
    <col min="9" max="9" width="5.33203125" customWidth="1"/>
    <col min="10" max="10" width="3.33203125" customWidth="1"/>
    <col min="11" max="11" width="6.5546875" customWidth="1"/>
    <col min="12" max="12" width="4.109375" customWidth="1"/>
    <col min="13" max="13" width="6.6640625" customWidth="1"/>
    <col min="14" max="14" width="12.88671875" customWidth="1"/>
    <col min="15" max="15" width="8.5546875" customWidth="1"/>
  </cols>
  <sheetData>
    <row r="1" spans="2:15" ht="23.4" x14ac:dyDescent="0.3">
      <c r="B1" s="17" t="s">
        <v>69</v>
      </c>
      <c r="C1" s="17"/>
      <c r="D1" s="17"/>
      <c r="E1" s="17"/>
      <c r="F1" s="17"/>
      <c r="G1" s="17"/>
      <c r="H1" s="17"/>
      <c r="I1" s="17"/>
      <c r="J1" s="17"/>
      <c r="K1" s="17"/>
      <c r="L1" s="17"/>
      <c r="M1" s="17"/>
      <c r="N1" s="17"/>
    </row>
    <row r="3" spans="2:15" x14ac:dyDescent="0.3">
      <c r="B3" s="18" t="s">
        <v>70</v>
      </c>
      <c r="C3" s="18"/>
      <c r="D3" s="18"/>
      <c r="E3" s="18"/>
      <c r="G3" s="18" t="s">
        <v>71</v>
      </c>
      <c r="H3" s="18"/>
      <c r="I3" s="18"/>
      <c r="J3" s="18"/>
      <c r="L3" s="18" t="s">
        <v>72</v>
      </c>
      <c r="M3" s="18"/>
      <c r="N3" s="18"/>
      <c r="O3" s="18"/>
    </row>
    <row r="4" spans="2:15" x14ac:dyDescent="0.3">
      <c r="B4" s="19">
        <f>SUM('Sales Data'!H:H)</f>
        <v>13999086.940000005</v>
      </c>
      <c r="C4" s="19"/>
      <c r="D4" s="19"/>
      <c r="E4" s="19"/>
      <c r="G4" s="20">
        <f>COUNTA('Sales Data'!A:A)-1</f>
        <v>50</v>
      </c>
      <c r="H4" s="20"/>
      <c r="I4" s="20"/>
      <c r="J4" s="20"/>
      <c r="L4" s="21" t="str">
        <f>INDEX('Sales Data'!C2:C51, MATCH(MAX('Sales Data'!H2:H51),'Sales Data'!H2:H51,0))</f>
        <v>Laptop</v>
      </c>
      <c r="M4" s="22"/>
      <c r="N4" s="22"/>
      <c r="O4" s="22"/>
    </row>
    <row r="5" spans="2:15" x14ac:dyDescent="0.3">
      <c r="B5" s="19"/>
      <c r="C5" s="19"/>
      <c r="D5" s="19"/>
      <c r="E5" s="19"/>
      <c r="G5" s="20"/>
      <c r="H5" s="20"/>
      <c r="I5" s="20"/>
      <c r="J5" s="20"/>
      <c r="L5" s="22"/>
      <c r="M5" s="22"/>
      <c r="N5" s="22"/>
      <c r="O5" s="22"/>
    </row>
  </sheetData>
  <mergeCells count="7">
    <mergeCell ref="B1:N1"/>
    <mergeCell ref="B3:E3"/>
    <mergeCell ref="B4:E5"/>
    <mergeCell ref="G3:J3"/>
    <mergeCell ref="G4:J5"/>
    <mergeCell ref="L3:O3"/>
    <mergeCell ref="L4: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 Data</vt:lpstr>
      <vt:lpstr>Sheet1</vt:lpstr>
      <vt:lpstr>Sheet2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Kaviyarasu V</dc:creator>
  <cp:lastModifiedBy>Kaviyarasu V</cp:lastModifiedBy>
  <dcterms:created xsi:type="dcterms:W3CDTF">2026-05-12T08:33:15Z</dcterms:created>
  <dcterms:modified xsi:type="dcterms:W3CDTF">2026-08-13T10:57:20Z</dcterms:modified>
</cp:coreProperties>
</file>